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C9B2015-7257-4BEF-8773-DAC873E8D4C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ales Data" sheetId="1" r:id="rId1"/>
    <sheet name="Payment method" sheetId="12" r:id="rId2"/>
    <sheet name="Sales Data (2)" sheetId="6" r:id="rId3"/>
    <sheet name="Fault Transactions" sheetId="5" r:id="rId4"/>
    <sheet name="customer types" sheetId="11" r:id="rId5"/>
    <sheet name="Solution" sheetId="13" r:id="rId6"/>
    <sheet name="Sales Status" sheetId="10" r:id="rId7"/>
    <sheet name="Branch" sheetId="7" r:id="rId8"/>
    <sheet name="Dashboard" sheetId="8" r:id="rId9"/>
    <sheet name="Summary" sheetId="2" r:id="rId10"/>
    <sheet name="Product Lookup" sheetId="3" r:id="rId11"/>
  </sheets>
  <definedNames>
    <definedName name="_xlnm._FilterDatabase" localSheetId="10" hidden="1">'Product Lookup'!$A$1:$D$21</definedName>
    <definedName name="_xlnm._FilterDatabase" localSheetId="0" hidden="1">'Sales Data'!$A$1:$P$321</definedName>
    <definedName name="_xlnm._FilterDatabase" localSheetId="2" hidden="1">'Sales Data (2)'!$A$1:$P$323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4" i="6" l="1"/>
  <c r="O322" i="6"/>
  <c r="C26" i="5"/>
  <c r="C21" i="5"/>
  <c r="C16" i="5"/>
  <c r="C11" i="5"/>
</calcChain>
</file>

<file path=xl/sharedStrings.xml><?xml version="1.0" encoding="utf-8"?>
<sst xmlns="http://schemas.openxmlformats.org/spreadsheetml/2006/main" count="5974" uniqueCount="450">
  <si>
    <t>Sale_ID</t>
  </si>
  <si>
    <t>Sale_Date</t>
  </si>
  <si>
    <t>Product_ID</t>
  </si>
  <si>
    <t>Product_Name</t>
  </si>
  <si>
    <t>Category</t>
  </si>
  <si>
    <t>Brand</t>
  </si>
  <si>
    <t>Branch</t>
  </si>
  <si>
    <t>Customer_Type</t>
  </si>
  <si>
    <t>Quantity</t>
  </si>
  <si>
    <t>Unit_Cost_NGN</t>
  </si>
  <si>
    <t>Unit_Price_NGN</t>
  </si>
  <si>
    <t>Sales_Amount_NGN</t>
  </si>
  <si>
    <t>Profit_NGN</t>
  </si>
  <si>
    <t>Payment_Method</t>
  </si>
  <si>
    <t>Sales_Status</t>
  </si>
  <si>
    <t>Warranty_Days</t>
  </si>
  <si>
    <t>SALE-0001</t>
  </si>
  <si>
    <t>P004</t>
  </si>
  <si>
    <t>Dell Latitude 7490</t>
  </si>
  <si>
    <t>Laptop</t>
  </si>
  <si>
    <t>Dell</t>
  </si>
  <si>
    <t>Kano</t>
  </si>
  <si>
    <t>Walk-in</t>
  </si>
  <si>
    <t>Cash</t>
  </si>
  <si>
    <t>Completed</t>
  </si>
  <si>
    <t>SALE-0002</t>
  </si>
  <si>
    <t>P003</t>
  </si>
  <si>
    <t>Lenovo ThinkPad T480</t>
  </si>
  <si>
    <t>Lenovo</t>
  </si>
  <si>
    <t>Abuja - Jikwoyi</t>
  </si>
  <si>
    <t>Student</t>
  </si>
  <si>
    <t>POS</t>
  </si>
  <si>
    <t>SALE-0003</t>
  </si>
  <si>
    <t>P001</t>
  </si>
  <si>
    <t>Dell Latitude 5490</t>
  </si>
  <si>
    <t>Business Client</t>
  </si>
  <si>
    <t>SALE-0004</t>
  </si>
  <si>
    <t>Card</t>
  </si>
  <si>
    <t>SALE-0005</t>
  </si>
  <si>
    <t>Abuja - Kurudu</t>
  </si>
  <si>
    <t>Bank Transfer</t>
  </si>
  <si>
    <t>SALE-0006</t>
  </si>
  <si>
    <t>P010</t>
  </si>
  <si>
    <t>Lenovo ThinkCentre M720</t>
  </si>
  <si>
    <t>Desktop</t>
  </si>
  <si>
    <t>Pending</t>
  </si>
  <si>
    <t>SALE-0007</t>
  </si>
  <si>
    <t>P012</t>
  </si>
  <si>
    <t>Dell 22-inch Monitor</t>
  </si>
  <si>
    <t>Monitor</t>
  </si>
  <si>
    <t>Online</t>
  </si>
  <si>
    <t>SALE-0008</t>
  </si>
  <si>
    <t>P013</t>
  </si>
  <si>
    <t>Logitech Wireless Mouse</t>
  </si>
  <si>
    <t>Accessory</t>
  </si>
  <si>
    <t>Logitech</t>
  </si>
  <si>
    <t>SALE-0009</t>
  </si>
  <si>
    <t>P011</t>
  </si>
  <si>
    <t>Samsung 24-inch Monitor</t>
  </si>
  <si>
    <t>Samsung</t>
  </si>
  <si>
    <t>Returned</t>
  </si>
  <si>
    <t>SALE-0010</t>
  </si>
  <si>
    <t>P015</t>
  </si>
  <si>
    <t>Laptop Charger 65W</t>
  </si>
  <si>
    <t>Generic</t>
  </si>
  <si>
    <t>SALE-0011</t>
  </si>
  <si>
    <t>P008</t>
  </si>
  <si>
    <t>Dell OptiPlex 7060</t>
  </si>
  <si>
    <t>SALE-0012</t>
  </si>
  <si>
    <t>P020</t>
  </si>
  <si>
    <t>USB-C Hub</t>
  </si>
  <si>
    <t>SALE-0013</t>
  </si>
  <si>
    <t>SALE-0014</t>
  </si>
  <si>
    <t>P017</t>
  </si>
  <si>
    <t>512GB SSD</t>
  </si>
  <si>
    <t>Storage</t>
  </si>
  <si>
    <t>Kingston</t>
  </si>
  <si>
    <t>Lagos</t>
  </si>
  <si>
    <t>SALE-0015</t>
  </si>
  <si>
    <t>SALE-0016</t>
  </si>
  <si>
    <t>SALE-0017</t>
  </si>
  <si>
    <t>P009</t>
  </si>
  <si>
    <t>HP ProDesk 600 G4</t>
  </si>
  <si>
    <t>HP</t>
  </si>
  <si>
    <t>SALE-0018</t>
  </si>
  <si>
    <t>SALE-0019</t>
  </si>
  <si>
    <t>SALE-0020</t>
  </si>
  <si>
    <t>P016</t>
  </si>
  <si>
    <t>256GB SSD</t>
  </si>
  <si>
    <t>SALE-0021</t>
  </si>
  <si>
    <t>P007</t>
  </si>
  <si>
    <t>Acer Aspire 5</t>
  </si>
  <si>
    <t>Acer</t>
  </si>
  <si>
    <t>SALE-0022</t>
  </si>
  <si>
    <t>SALE-0023</t>
  </si>
  <si>
    <t>P006</t>
  </si>
  <si>
    <t>Lenovo IdeaPad 3</t>
  </si>
  <si>
    <t>SALE-0024</t>
  </si>
  <si>
    <t>SALE-0025</t>
  </si>
  <si>
    <t>SALE-0026</t>
  </si>
  <si>
    <t>SALE-0027</t>
  </si>
  <si>
    <t>P002</t>
  </si>
  <si>
    <t>HP EliteBook 840 G5</t>
  </si>
  <si>
    <t>SALE-0028</t>
  </si>
  <si>
    <t>P019</t>
  </si>
  <si>
    <t>16GB DDR4 RAM</t>
  </si>
  <si>
    <t>Memory</t>
  </si>
  <si>
    <t>SALE-0029</t>
  </si>
  <si>
    <t>SALE-0030</t>
  </si>
  <si>
    <t>SALE-0031</t>
  </si>
  <si>
    <t>SALE-0032</t>
  </si>
  <si>
    <t>P005</t>
  </si>
  <si>
    <t>HP ProBook 450 G6</t>
  </si>
  <si>
    <t>SALE-0033</t>
  </si>
  <si>
    <t>SALE-0034</t>
  </si>
  <si>
    <t>SALE-0035</t>
  </si>
  <si>
    <t>SALE-0036</t>
  </si>
  <si>
    <t>SALE-0037</t>
  </si>
  <si>
    <t>SALE-0038</t>
  </si>
  <si>
    <t>P014</t>
  </si>
  <si>
    <t>HP Wireless Keyboard</t>
  </si>
  <si>
    <t>SALE-0039</t>
  </si>
  <si>
    <t>SALE-0040</t>
  </si>
  <si>
    <t>SALE-0041</t>
  </si>
  <si>
    <t>SALE-0042</t>
  </si>
  <si>
    <t>SALE-0043</t>
  </si>
  <si>
    <t>SALE-0044</t>
  </si>
  <si>
    <t>SALE-0045</t>
  </si>
  <si>
    <t>SALE-0046</t>
  </si>
  <si>
    <t>SALE-0047</t>
  </si>
  <si>
    <t>SALE-0048</t>
  </si>
  <si>
    <t>SALE-0049</t>
  </si>
  <si>
    <t>SALE-0050</t>
  </si>
  <si>
    <t>SALE-0051</t>
  </si>
  <si>
    <t>P018</t>
  </si>
  <si>
    <t>8GB DDR4 RAM</t>
  </si>
  <si>
    <t>SALE-0052</t>
  </si>
  <si>
    <t>SALE-0053</t>
  </si>
  <si>
    <t>SALE-0054</t>
  </si>
  <si>
    <t>SALE-0055</t>
  </si>
  <si>
    <t>SALE-0056</t>
  </si>
  <si>
    <t>SALE-0057</t>
  </si>
  <si>
    <t>SALE-0058</t>
  </si>
  <si>
    <t>SALE-0059</t>
  </si>
  <si>
    <t>SALE-0060</t>
  </si>
  <si>
    <t>SALE-0061</t>
  </si>
  <si>
    <t>SALE-0062</t>
  </si>
  <si>
    <t>SALE-0063</t>
  </si>
  <si>
    <t>SALE-0064</t>
  </si>
  <si>
    <t>SALE-0065</t>
  </si>
  <si>
    <t>SALE-0066</t>
  </si>
  <si>
    <t>SALE-0067</t>
  </si>
  <si>
    <t>SALE-0068</t>
  </si>
  <si>
    <t>SALE-0069</t>
  </si>
  <si>
    <t>SALE-0070</t>
  </si>
  <si>
    <t>SALE-0071</t>
  </si>
  <si>
    <t>SALE-0072</t>
  </si>
  <si>
    <t>SALE-0073</t>
  </si>
  <si>
    <t>SALE-0074</t>
  </si>
  <si>
    <t>SALE-0075</t>
  </si>
  <si>
    <t>SALE-0076</t>
  </si>
  <si>
    <t>SALE-0077</t>
  </si>
  <si>
    <t>SALE-0078</t>
  </si>
  <si>
    <t>SALE-0079</t>
  </si>
  <si>
    <t>SALE-0080</t>
  </si>
  <si>
    <t>SALE-0081</t>
  </si>
  <si>
    <t>SALE-0082</t>
  </si>
  <si>
    <t>SALE-0083</t>
  </si>
  <si>
    <t>SALE-0084</t>
  </si>
  <si>
    <t>SALE-0085</t>
  </si>
  <si>
    <t>SALE-0086</t>
  </si>
  <si>
    <t>SALE-0087</t>
  </si>
  <si>
    <t>SALE-0088</t>
  </si>
  <si>
    <t>SALE-0089</t>
  </si>
  <si>
    <t>SALE-0090</t>
  </si>
  <si>
    <t>SALE-0091</t>
  </si>
  <si>
    <t>SALE-0092</t>
  </si>
  <si>
    <t>SALE-0093</t>
  </si>
  <si>
    <t>SALE-0094</t>
  </si>
  <si>
    <t>SALE-0095</t>
  </si>
  <si>
    <t>SALE-0096</t>
  </si>
  <si>
    <t>SALE-0097</t>
  </si>
  <si>
    <t>SALE-0098</t>
  </si>
  <si>
    <t>SALE-0099</t>
  </si>
  <si>
    <t>SALE-0100</t>
  </si>
  <si>
    <t>SALE-0101</t>
  </si>
  <si>
    <t>SALE-0102</t>
  </si>
  <si>
    <t>SALE-0103</t>
  </si>
  <si>
    <t>SALE-0104</t>
  </si>
  <si>
    <t>SALE-0105</t>
  </si>
  <si>
    <t>SALE-0106</t>
  </si>
  <si>
    <t>SALE-0107</t>
  </si>
  <si>
    <t>SALE-0108</t>
  </si>
  <si>
    <t>SALE-0109</t>
  </si>
  <si>
    <t>SALE-0110</t>
  </si>
  <si>
    <t>SALE-0111</t>
  </si>
  <si>
    <t>SALE-0112</t>
  </si>
  <si>
    <t>SALE-0113</t>
  </si>
  <si>
    <t>SALE-0114</t>
  </si>
  <si>
    <t>SALE-0115</t>
  </si>
  <si>
    <t>SALE-0116</t>
  </si>
  <si>
    <t>SALE-0117</t>
  </si>
  <si>
    <t>SALE-0118</t>
  </si>
  <si>
    <t>SALE-0119</t>
  </si>
  <si>
    <t>SALE-0120</t>
  </si>
  <si>
    <t>SALE-0121</t>
  </si>
  <si>
    <t>SALE-0122</t>
  </si>
  <si>
    <t>SALE-0123</t>
  </si>
  <si>
    <t>SALE-0124</t>
  </si>
  <si>
    <t>SALE-0125</t>
  </si>
  <si>
    <t>SALE-0126</t>
  </si>
  <si>
    <t>SALE-0127</t>
  </si>
  <si>
    <t>SALE-0128</t>
  </si>
  <si>
    <t>SALE-0129</t>
  </si>
  <si>
    <t>SALE-0130</t>
  </si>
  <si>
    <t>SALE-0131</t>
  </si>
  <si>
    <t>SALE-0132</t>
  </si>
  <si>
    <t>SALE-0133</t>
  </si>
  <si>
    <t>SALE-0134</t>
  </si>
  <si>
    <t>SALE-0135</t>
  </si>
  <si>
    <t>SALE-0136</t>
  </si>
  <si>
    <t>SALE-0137</t>
  </si>
  <si>
    <t>SALE-0138</t>
  </si>
  <si>
    <t>SALE-0139</t>
  </si>
  <si>
    <t>SALE-0140</t>
  </si>
  <si>
    <t>SALE-0141</t>
  </si>
  <si>
    <t>SALE-0142</t>
  </si>
  <si>
    <t>SALE-0143</t>
  </si>
  <si>
    <t>SALE-0144</t>
  </si>
  <si>
    <t>SALE-0145</t>
  </si>
  <si>
    <t>SALE-0146</t>
  </si>
  <si>
    <t>SALE-0147</t>
  </si>
  <si>
    <t>SALE-0148</t>
  </si>
  <si>
    <t>SALE-0149</t>
  </si>
  <si>
    <t>SALE-0150</t>
  </si>
  <si>
    <t>SALE-0151</t>
  </si>
  <si>
    <t>SALE-0152</t>
  </si>
  <si>
    <t>SALE-0153</t>
  </si>
  <si>
    <t>SALE-0154</t>
  </si>
  <si>
    <t>SALE-0155</t>
  </si>
  <si>
    <t>SALE-0156</t>
  </si>
  <si>
    <t>SALE-0157</t>
  </si>
  <si>
    <t>SALE-0158</t>
  </si>
  <si>
    <t>SALE-0159</t>
  </si>
  <si>
    <t>SALE-0160</t>
  </si>
  <si>
    <t>SALE-0161</t>
  </si>
  <si>
    <t>SALE-0162</t>
  </si>
  <si>
    <t>SALE-0163</t>
  </si>
  <si>
    <t>SALE-0164</t>
  </si>
  <si>
    <t>SALE-0165</t>
  </si>
  <si>
    <t>SALE-0166</t>
  </si>
  <si>
    <t>SALE-0167</t>
  </si>
  <si>
    <t>SALE-0168</t>
  </si>
  <si>
    <t>SALE-0169</t>
  </si>
  <si>
    <t>SALE-0170</t>
  </si>
  <si>
    <t>SALE-0171</t>
  </si>
  <si>
    <t>SALE-0172</t>
  </si>
  <si>
    <t>SALE-0173</t>
  </si>
  <si>
    <t>SALE-0174</t>
  </si>
  <si>
    <t>SALE-0175</t>
  </si>
  <si>
    <t>SALE-0176</t>
  </si>
  <si>
    <t>SALE-0177</t>
  </si>
  <si>
    <t>SALE-0178</t>
  </si>
  <si>
    <t>SALE-0179</t>
  </si>
  <si>
    <t>SALE-0180</t>
  </si>
  <si>
    <t>SALE-0181</t>
  </si>
  <si>
    <t>SALE-0182</t>
  </si>
  <si>
    <t>SALE-0183</t>
  </si>
  <si>
    <t>SALE-0184</t>
  </si>
  <si>
    <t>SALE-0185</t>
  </si>
  <si>
    <t>SALE-0186</t>
  </si>
  <si>
    <t>SALE-0187</t>
  </si>
  <si>
    <t>SALE-0188</t>
  </si>
  <si>
    <t>SALE-0189</t>
  </si>
  <si>
    <t>SALE-0190</t>
  </si>
  <si>
    <t>SALE-0191</t>
  </si>
  <si>
    <t>SALE-0192</t>
  </si>
  <si>
    <t>SALE-0193</t>
  </si>
  <si>
    <t>SALE-0194</t>
  </si>
  <si>
    <t>SALE-0195</t>
  </si>
  <si>
    <t>SALE-0196</t>
  </si>
  <si>
    <t>SALE-0197</t>
  </si>
  <si>
    <t>SALE-0198</t>
  </si>
  <si>
    <t>SALE-0199</t>
  </si>
  <si>
    <t>SALE-0200</t>
  </si>
  <si>
    <t>SALE-0201</t>
  </si>
  <si>
    <t>SALE-0202</t>
  </si>
  <si>
    <t>SALE-0203</t>
  </si>
  <si>
    <t>SALE-0204</t>
  </si>
  <si>
    <t>SALE-0205</t>
  </si>
  <si>
    <t>SALE-0206</t>
  </si>
  <si>
    <t>SALE-0207</t>
  </si>
  <si>
    <t>SALE-0208</t>
  </si>
  <si>
    <t>SALE-0209</t>
  </si>
  <si>
    <t>SALE-0210</t>
  </si>
  <si>
    <t>SALE-0211</t>
  </si>
  <si>
    <t>SALE-0212</t>
  </si>
  <si>
    <t>SALE-0213</t>
  </si>
  <si>
    <t>SALE-0214</t>
  </si>
  <si>
    <t>SALE-0215</t>
  </si>
  <si>
    <t>SALE-0216</t>
  </si>
  <si>
    <t>SALE-0217</t>
  </si>
  <si>
    <t>SALE-0218</t>
  </si>
  <si>
    <t>SALE-0219</t>
  </si>
  <si>
    <t>SALE-0220</t>
  </si>
  <si>
    <t>SALE-0221</t>
  </si>
  <si>
    <t>SALE-0222</t>
  </si>
  <si>
    <t>SALE-0223</t>
  </si>
  <si>
    <t>SALE-0224</t>
  </si>
  <si>
    <t>SALE-0225</t>
  </si>
  <si>
    <t>SALE-0226</t>
  </si>
  <si>
    <t>SALE-0227</t>
  </si>
  <si>
    <t>SALE-0228</t>
  </si>
  <si>
    <t>SALE-0229</t>
  </si>
  <si>
    <t>SALE-0230</t>
  </si>
  <si>
    <t>SALE-0231</t>
  </si>
  <si>
    <t>SALE-0232</t>
  </si>
  <si>
    <t>SALE-0233</t>
  </si>
  <si>
    <t>SALE-0234</t>
  </si>
  <si>
    <t>SALE-0235</t>
  </si>
  <si>
    <t>SALE-0236</t>
  </si>
  <si>
    <t>SALE-0237</t>
  </si>
  <si>
    <t>SALE-0238</t>
  </si>
  <si>
    <t>SALE-0239</t>
  </si>
  <si>
    <t>SALE-0240</t>
  </si>
  <si>
    <t>SALE-0241</t>
  </si>
  <si>
    <t>SALE-0242</t>
  </si>
  <si>
    <t>SALE-0243</t>
  </si>
  <si>
    <t>SALE-0244</t>
  </si>
  <si>
    <t>SALE-0245</t>
  </si>
  <si>
    <t>SALE-0246</t>
  </si>
  <si>
    <t>SALE-0247</t>
  </si>
  <si>
    <t>SALE-0248</t>
  </si>
  <si>
    <t>SALE-0249</t>
  </si>
  <si>
    <t>SALE-0250</t>
  </si>
  <si>
    <t>SALE-0251</t>
  </si>
  <si>
    <t>SALE-0252</t>
  </si>
  <si>
    <t>SALE-0253</t>
  </si>
  <si>
    <t>SALE-0254</t>
  </si>
  <si>
    <t>SALE-0255</t>
  </si>
  <si>
    <t>SALE-0256</t>
  </si>
  <si>
    <t>SALE-0257</t>
  </si>
  <si>
    <t>SALE-0258</t>
  </si>
  <si>
    <t>SALE-0259</t>
  </si>
  <si>
    <t>SALE-0260</t>
  </si>
  <si>
    <t>SALE-0261</t>
  </si>
  <si>
    <t>SALE-0262</t>
  </si>
  <si>
    <t>SALE-0263</t>
  </si>
  <si>
    <t>SALE-0264</t>
  </si>
  <si>
    <t>SALE-0265</t>
  </si>
  <si>
    <t>SALE-0266</t>
  </si>
  <si>
    <t>SALE-0267</t>
  </si>
  <si>
    <t>SALE-0268</t>
  </si>
  <si>
    <t>SALE-0269</t>
  </si>
  <si>
    <t>SALE-0270</t>
  </si>
  <si>
    <t>SALE-0271</t>
  </si>
  <si>
    <t>SALE-0272</t>
  </si>
  <si>
    <t>SALE-0273</t>
  </si>
  <si>
    <t>SALE-0274</t>
  </si>
  <si>
    <t>SALE-0275</t>
  </si>
  <si>
    <t>SALE-0276</t>
  </si>
  <si>
    <t>SALE-0277</t>
  </si>
  <si>
    <t>SALE-0278</t>
  </si>
  <si>
    <t>SALE-0279</t>
  </si>
  <si>
    <t>SALE-0280</t>
  </si>
  <si>
    <t>SALE-0281</t>
  </si>
  <si>
    <t>SALE-0282</t>
  </si>
  <si>
    <t>SALE-0283</t>
  </si>
  <si>
    <t>SALE-0284</t>
  </si>
  <si>
    <t>SALE-0285</t>
  </si>
  <si>
    <t>SALE-0286</t>
  </si>
  <si>
    <t>SALE-0287</t>
  </si>
  <si>
    <t>SALE-0288</t>
  </si>
  <si>
    <t>SALE-0289</t>
  </si>
  <si>
    <t>SALE-0290</t>
  </si>
  <si>
    <t>SALE-0291</t>
  </si>
  <si>
    <t>SALE-0292</t>
  </si>
  <si>
    <t>SALE-0293</t>
  </si>
  <si>
    <t>SALE-0294</t>
  </si>
  <si>
    <t>SALE-0295</t>
  </si>
  <si>
    <t>SALE-0296</t>
  </si>
  <si>
    <t>SALE-0297</t>
  </si>
  <si>
    <t>SALE-0298</t>
  </si>
  <si>
    <t>SALE-0299</t>
  </si>
  <si>
    <t>SALE-0300</t>
  </si>
  <si>
    <t>SALE-0301</t>
  </si>
  <si>
    <t>SALE-0302</t>
  </si>
  <si>
    <t>SALE-0303</t>
  </si>
  <si>
    <t>SALE-0304</t>
  </si>
  <si>
    <t>SALE-0305</t>
  </si>
  <si>
    <t>SALE-0306</t>
  </si>
  <si>
    <t>SALE-0307</t>
  </si>
  <si>
    <t>SALE-0308</t>
  </si>
  <si>
    <t>SALE-0309</t>
  </si>
  <si>
    <t>SALE-0310</t>
  </si>
  <si>
    <t>SALE-0311</t>
  </si>
  <si>
    <t>SALE-0312</t>
  </si>
  <si>
    <t>SALE-0313</t>
  </si>
  <si>
    <t>SALE-0314</t>
  </si>
  <si>
    <t>SALE-0315</t>
  </si>
  <si>
    <t>SALE-0316</t>
  </si>
  <si>
    <t>SALE-0317</t>
  </si>
  <si>
    <t>SALE-0318</t>
  </si>
  <si>
    <t>SALE-0319</t>
  </si>
  <si>
    <t>SALE-0320</t>
  </si>
  <si>
    <t>OMAR TECH — SALES &amp; INVENTORY DATASET</t>
  </si>
  <si>
    <t>Purpose</t>
  </si>
  <si>
    <t>Laptop, desktop, accessories and computer-part sales analysis</t>
  </si>
  <si>
    <t>Records</t>
  </si>
  <si>
    <t>Suggested KPI</t>
  </si>
  <si>
    <t>Use this dataset to calculate total sales, total profit, units sold, average order value, return rate and sales by branch/category.</t>
  </si>
  <si>
    <t>Row Labels</t>
  </si>
  <si>
    <t>Grand Total</t>
  </si>
  <si>
    <t>Sum of Sales_Amount_NGN</t>
  </si>
  <si>
    <t xml:space="preserve">Bank transfer </t>
  </si>
  <si>
    <t xml:space="preserve">Completed </t>
  </si>
  <si>
    <t>Abuja- Jikwoyi</t>
  </si>
  <si>
    <t xml:space="preserve">Pending </t>
  </si>
  <si>
    <t>BRANCH</t>
  </si>
  <si>
    <t>COMPLETED</t>
  </si>
  <si>
    <t>PENDING</t>
  </si>
  <si>
    <t>RETURNED</t>
  </si>
  <si>
    <t>ABUJA- KURUDU</t>
  </si>
  <si>
    <t>LAGOS</t>
  </si>
  <si>
    <t>Total Transactions</t>
  </si>
  <si>
    <t>Report on Fake / Flash Bank Transfers</t>
  </si>
  <si>
    <t>Omar Tech Sales Review</t>
  </si>
  <si>
    <t>This is the main exposure point for flash payments and fake transfers.</t>
  </si>
  <si>
    <t>Verification Requirement</t>
  </si>
  <si>
    <t>Authority Control</t>
  </si>
  <si>
    <t>Time Limit on Pending Transfers</t>
  </si>
  <si>
    <t>Preferred Payment Methods</t>
  </si>
  <si>
    <t>Staff Tracking Tool</t>
  </si>
  <si>
    <t>Implementing the above measures will significantly reduce the risk of flash and fake transfers. The current exposure of ₦5.44 million can be systematically cleared, and future losses of this nature can be largely prevented.</t>
  </si>
  <si>
    <t>A review of the sales records shows that Bank Transfer remains a high-risk payment method for the business.</t>
  </si>
  <si>
    <t>Out of all pending transactions, 21 sales paid by Bank Transfer are still unconfirmed. These transactions total ₦5,437,600 in sales value and put approximately ₦1,042,100 in profit at risk.</t>
  </si>
  <si>
    <t>Date: 3 October 2026</t>
  </si>
  <si>
    <t>(A)..Payment Confirmation Rule</t>
  </si>
  <si>
    <t xml:space="preserve">   Overview</t>
  </si>
  <si>
    <t>1.No goods should be released on any Bank Transfer until the payment is fully confirmed in the company’s bank account. Customer screenshots should not be accepted as proof of payment.</t>
  </si>
  <si>
    <t>2.Every Bank Transfer sale must carry a clear transfer reference. Staff must match this reference with the actual bank alert or statement before releasing the item.</t>
  </si>
  <si>
    <t>3.Transactions above ₦200,000 should require supervisor or manager approval after payment confirmation.</t>
  </si>
  <si>
    <t>4.Any Bank Transfer that remains unconfirmed after 24–48 hours should be placed on hold or cancelled. This prevents old unconfirmed sales from remaining open indefinitely.</t>
  </si>
  <si>
    <t>5. POS and Card payments already show stronger completion rates. These methods should be encouraged, especially for high-value items and new customers.</t>
  </si>
  <si>
    <t>6. A dedicated tracker has been prepared listing all 21 unconfirmed Bank Transfer sales. It allows the team to record the transfer reference, confirmation status, and release authorisation for each transaction.</t>
  </si>
  <si>
    <t>(B) Expected Outcome</t>
  </si>
  <si>
    <t>Prepared by: [Marcus Victor]</t>
  </si>
  <si>
    <r>
      <t xml:space="preserve"> </t>
    </r>
    <r>
      <rPr>
        <b/>
        <sz val="14"/>
        <color theme="1"/>
        <rFont val="Calibri"/>
        <family val="2"/>
        <scheme val="minor"/>
      </rPr>
      <t>Recommended Solutions</t>
    </r>
  </si>
  <si>
    <t>Total Returned</t>
  </si>
  <si>
    <t>RETURNED/ PENDING  TRANSACTIONS WITH BANK TRANSFERS ACROSS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</si>
</sst>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[Omar_Tech_Sales_Inventory_Data (2).xlsx]Branch!PivotTable1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Branch</a:t>
            </a:r>
          </a:p>
          <a:p>
            <a:pPr>
              <a:defRPr/>
            </a:pPr>
            <a:endParaRPr lang="en-US" baseline="0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Branch!$B$3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Branch!$A$4:$A$8</c:f>
              <c:strCache>
                <c:ptCount val="4"/>
                <c:pt idx="0">
                  <c:v>Abuja - Jikwoyi</c:v>
                </c:pt>
                <c:pt idx="1">
                  <c:v>Abuja - Kurudu</c:v>
                </c:pt>
                <c:pt idx="2">
                  <c:v>Kano</c:v>
                </c:pt>
                <c:pt idx="3">
                  <c:v>Lagos</c:v>
                </c:pt>
              </c:strCache>
            </c:strRef>
          </c:cat>
          <c:val>
            <c:numRef>
              <c:f>Branch!$B$4:$B$8</c:f>
              <c:numCache>
                <c:formatCode>#,##0</c:formatCode>
                <c:ptCount val="4"/>
                <c:pt idx="0">
                  <c:v>9401000</c:v>
                </c:pt>
                <c:pt idx="1">
                  <c:v>7813400</c:v>
                </c:pt>
                <c:pt idx="2">
                  <c:v>15835500</c:v>
                </c:pt>
                <c:pt idx="3">
                  <c:v>11733700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19-4B00-B80B-286976C54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1691392"/>
        <c:axId val="1260748464"/>
        <c:axId val="0"/>
      </c:bar3DChart>
      <c:catAx>
        <c:axId val="13116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48464"/>
        <c:crosses val="autoZero"/>
        <c:auto val="1"/>
        <c:lblAlgn val="ctr"/>
        <c:lblOffset val="100"/>
        <c:noMultiLvlLbl val="0"/>
      </c:catAx>
      <c:valAx>
        <c:axId val="12607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9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[Omar_Tech_Sales_Inventory_Data (2).xlsx]Sales Status!PivotTable2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389-4B8C-9048-7E8C07F18B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389-4B8C-9048-7E8C07F18B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389-4B8C-9048-7E8C07F18B4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Status'!$A$4:$A$7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Returned</c:v>
                </c:pt>
              </c:strCache>
            </c:strRef>
          </c:cat>
          <c:val>
            <c:numRef>
              <c:f>'Sales Status'!$B$4:$B$7</c:f>
              <c:numCache>
                <c:formatCode>#,##0</c:formatCode>
                <c:ptCount val="3"/>
                <c:pt idx="0">
                  <c:v>48333600</c:v>
                </c:pt>
                <c:pt idx="1">
                  <c:v>21735500</c:v>
                </c:pt>
                <c:pt idx="2">
                  <c:v>-25285500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89-4B8C-9048-7E8C07F18B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[Omar_Tech_Sales_Inventory_Data (2).xlsx]customer types!PivotTable3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types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types'!$B$3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types'!$A$4:$A$8</c:f>
              <c:strCache>
                <c:ptCount val="4"/>
                <c:pt idx="0">
                  <c:v>Business Client</c:v>
                </c:pt>
                <c:pt idx="1">
                  <c:v>Online</c:v>
                </c:pt>
                <c:pt idx="2">
                  <c:v>Student</c:v>
                </c:pt>
                <c:pt idx="3">
                  <c:v>Walk-in</c:v>
                </c:pt>
              </c:strCache>
            </c:strRef>
          </c:cat>
          <c:val>
            <c:numRef>
              <c:f>'customer types'!$B$4:$B$8</c:f>
              <c:numCache>
                <c:formatCode>#,##0.00</c:formatCode>
                <c:ptCount val="4"/>
                <c:pt idx="0">
                  <c:v>6939300</c:v>
                </c:pt>
                <c:pt idx="1">
                  <c:v>11803200</c:v>
                </c:pt>
                <c:pt idx="2">
                  <c:v>11655400</c:v>
                </c:pt>
                <c:pt idx="3">
                  <c:v>14385700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E-4E97-BC41-3DC6F972C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379184"/>
        <c:axId val="1260719184"/>
      </c:barChart>
      <c:catAx>
        <c:axId val="139237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19184"/>
        <c:crosses val="autoZero"/>
        <c:auto val="1"/>
        <c:lblAlgn val="ctr"/>
        <c:lblOffset val="100"/>
        <c:noMultiLvlLbl val="0"/>
      </c:catAx>
      <c:valAx>
        <c:axId val="126071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7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[Omar_Tech_Sales_Inventory_Data (2).xlsx]Payment method!PivotTable4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Payment</a:t>
            </a:r>
            <a:r>
              <a:rPr lang="en-US" baseline="0"/>
              <a:t> method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method'!$A$4:$A$8</c:f>
              <c:strCache>
                <c:ptCount val="4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POS</c:v>
                </c:pt>
              </c:strCache>
            </c:strRef>
          </c:cat>
          <c:val>
            <c:numRef>
              <c:f>'Payment method'!$B$4:$B$8</c:f>
              <c:numCache>
                <c:formatCode>#,##0.00</c:formatCode>
                <c:ptCount val="4"/>
                <c:pt idx="0">
                  <c:v>11997500</c:v>
                </c:pt>
                <c:pt idx="1">
                  <c:v>10666800</c:v>
                </c:pt>
                <c:pt idx="2">
                  <c:v>10993500</c:v>
                </c:pt>
                <c:pt idx="3">
                  <c:v>11125800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1-4D3A-BF00-35ADBBC6B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392379648"/>
        <c:axId val="1260758064"/>
      </c:barChart>
      <c:catAx>
        <c:axId val="139237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58064"/>
        <c:crosses val="autoZero"/>
        <c:auto val="1"/>
        <c:lblAlgn val="ctr"/>
        <c:lblOffset val="100"/>
        <c:noMultiLvlLbl val="0"/>
      </c:catAx>
      <c:valAx>
        <c:axId val="12607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E6EE2-9665-4CB1-956D-C7FA79FCF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219988</xdr:colOff>
      <xdr:row>0</xdr:row>
      <xdr:rowOff>69589</xdr:rowOff>
    </xdr:from>
    <xdr:to>
      <xdr:col>15</xdr:col>
      <xdr:colOff>524092</xdr:colOff>
      <xdr:row>14</xdr:row>
      <xdr:rowOff>139178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CCD889-66AC-40EC-BEE8-654F69F84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269656</xdr:colOff>
      <xdr:row>0</xdr:row>
      <xdr:rowOff>51211</xdr:rowOff>
    </xdr:from>
    <xdr:to>
      <xdr:col>23</xdr:col>
      <xdr:colOff>579327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C60C26-6699-4748-B039-27A941F96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182671</xdr:colOff>
      <xdr:row>17</xdr:row>
      <xdr:rowOff>8698</xdr:rowOff>
    </xdr:from>
    <xdr:to>
      <xdr:col>7</xdr:col>
      <xdr:colOff>492342</xdr:colOff>
      <xdr:row>32</xdr:row>
      <xdr:rowOff>11830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538D3-30FE-4FA3-987C-EB946D38A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" refreshedDate="46298.587514930558" createdVersion="8" refreshedVersion="8" minRefreshableVersion="3" recordCount="320" xr:uid="{70AAF1AC-C250-4751-8206-162125205C01}">
  <cacheSource type="worksheet">
    <worksheetSource ref="A1:P321" sheet="Sales Data (2)"/>
  </cacheSource>
  <cacheFields count="16">
    <cacheField name="Sale_ID" numFmtId="0">
      <sharedItems/>
    </cacheField>
    <cacheField name="Sale_Date" numFmtId="164">
      <sharedItems containsSemiMixedTypes="0" containsNonDate="0" containsDate="1" containsString="0" minDate="2026-01-05T00:00:00" maxDate="2026-10-02T00:00:00"/>
    </cacheField>
    <cacheField name="Product_ID" numFmtId="0">
      <sharedItems/>
    </cacheField>
    <cacheField name="Product_Name" numFmtId="0">
      <sharedItems count="20">
        <s v="Dell Latitude 7490"/>
        <s v="Lenovo ThinkPad T480"/>
        <s v="Dell Latitude 5490"/>
        <s v="Lenovo ThinkCentre M720"/>
        <s v="Dell 22-inch Monitor"/>
        <s v="Logitech Wireless Mouse"/>
        <s v="Samsung 24-inch Monitor"/>
        <s v="Laptop Charger 65W"/>
        <s v="Dell OptiPlex 7060"/>
        <s v="USB-C Hub"/>
        <s v="512GB SSD"/>
        <s v="HP ProDesk 600 G4"/>
        <s v="256GB SSD"/>
        <s v="Acer Aspire 5"/>
        <s v="Lenovo IdeaPad 3"/>
        <s v="HP EliteBook 840 G5"/>
        <s v="16GB DDR4 RAM"/>
        <s v="HP ProBook 450 G6"/>
        <s v="HP Wireless Keyboard"/>
        <s v="8GB DDR4 RAM"/>
      </sharedItems>
    </cacheField>
    <cacheField name="Category" numFmtId="0">
      <sharedItems/>
    </cacheField>
    <cacheField name="Brand" numFmtId="0">
      <sharedItems/>
    </cacheField>
    <cacheField name="Branch" numFmtId="0">
      <sharedItems count="4">
        <s v="Kano"/>
        <s v="Abuja - Jikwoyi"/>
        <s v="Abuja - Kurudu"/>
        <s v="Lagos"/>
      </sharedItems>
    </cacheField>
    <cacheField name="Customer_Type" numFmtId="0">
      <sharedItems count="4">
        <s v="Walk-in"/>
        <s v="Student"/>
        <s v="Business Client"/>
        <s v="Online"/>
      </sharedItems>
    </cacheField>
    <cacheField name="Quantity" numFmtId="0">
      <sharedItems containsSemiMixedTypes="0" containsString="0" containsNumber="1" containsInteger="1" minValue="-5" maxValue="5"/>
    </cacheField>
    <cacheField name="Unit_Cost_NGN" numFmtId="4">
      <sharedItems containsSemiMixedTypes="0" containsString="0" containsNumber="1" containsInteger="1" minValue="7000" maxValue="319500"/>
    </cacheField>
    <cacheField name="Unit_Price_NGN" numFmtId="4">
      <sharedItems containsSemiMixedTypes="0" containsString="0" containsNumber="1" containsInteger="1" minValue="8800" maxValue="405400"/>
    </cacheField>
    <cacheField name="Sales_Amount_NGN" numFmtId="4">
      <sharedItems containsSemiMixedTypes="0" containsString="0" containsNumber="1" containsInteger="1" minValue="-1450000" maxValue="1889500"/>
    </cacheField>
    <cacheField name="Profit_NGN" numFmtId="4">
      <sharedItems containsSemiMixedTypes="0" containsString="0" containsNumber="1" containsInteger="1" minValue="-320000" maxValue="422000"/>
    </cacheField>
    <cacheField name="Payment_Method" numFmtId="0">
      <sharedItems count="4">
        <s v="Cash"/>
        <s v="POS"/>
        <s v="Card"/>
        <s v="Bank Transfer"/>
      </sharedItems>
    </cacheField>
    <cacheField name="Sales_Status" numFmtId="0">
      <sharedItems count="3">
        <s v="Completed"/>
        <s v="Pending"/>
        <s v="Returned"/>
      </sharedItems>
    </cacheField>
    <cacheField name="Warranty_Days" numFmtId="0">
      <sharedItems containsSemiMixedTypes="0" containsString="0" containsNumber="1" containsInteger="1" minValue="30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SALE-0001"/>
    <d v="2026-02-18T00:00:00"/>
    <s v="P004"/>
    <x v="0"/>
    <s v="Laptop"/>
    <s v="Dell"/>
    <x v="0"/>
    <x v="0"/>
    <n v="1"/>
    <n v="183500"/>
    <n v="215600"/>
    <n v="215600"/>
    <n v="32100"/>
    <x v="0"/>
    <x v="0"/>
    <n v="180"/>
  </r>
  <r>
    <s v="SALE-0002"/>
    <d v="2026-08-07T00:00:00"/>
    <s v="P003"/>
    <x v="1"/>
    <s v="Laptop"/>
    <s v="Lenovo"/>
    <x v="1"/>
    <x v="1"/>
    <n v="1"/>
    <n v="210600"/>
    <n v="257200"/>
    <n v="257200"/>
    <n v="46600"/>
    <x v="1"/>
    <x v="0"/>
    <n v="180"/>
  </r>
  <r>
    <s v="SALE-0003"/>
    <d v="2026-03-25T00:00:00"/>
    <s v="P001"/>
    <x v="2"/>
    <s v="Laptop"/>
    <s v="Dell"/>
    <x v="1"/>
    <x v="2"/>
    <n v="1"/>
    <n v="286200"/>
    <n v="329700"/>
    <n v="329700"/>
    <n v="43500"/>
    <x v="0"/>
    <x v="0"/>
    <n v="180"/>
  </r>
  <r>
    <s v="SALE-0004"/>
    <d v="2026-01-27T00:00:00"/>
    <s v="P003"/>
    <x v="1"/>
    <s v="Laptop"/>
    <s v="Lenovo"/>
    <x v="0"/>
    <x v="0"/>
    <n v="1"/>
    <n v="233200"/>
    <n v="277900"/>
    <n v="277900"/>
    <n v="44700"/>
    <x v="2"/>
    <x v="0"/>
    <n v="180"/>
  </r>
  <r>
    <s v="SALE-0005"/>
    <d v="2026-04-13T00:00:00"/>
    <s v="P003"/>
    <x v="1"/>
    <s v="Laptop"/>
    <s v="Lenovo"/>
    <x v="2"/>
    <x v="0"/>
    <n v="2"/>
    <n v="257300"/>
    <n v="330900"/>
    <n v="661800"/>
    <n v="147200"/>
    <x v="3"/>
    <x v="0"/>
    <n v="180"/>
  </r>
  <r>
    <s v="SALE-0006"/>
    <d v="2026-05-27T00:00:00"/>
    <s v="P010"/>
    <x v="3"/>
    <s v="Desktop"/>
    <s v="Lenovo"/>
    <x v="0"/>
    <x v="2"/>
    <n v="3"/>
    <n v="278400"/>
    <n v="359400"/>
    <n v="1078200"/>
    <n v="243000"/>
    <x v="3"/>
    <x v="1"/>
    <n v="180"/>
  </r>
  <r>
    <s v="SALE-0007"/>
    <d v="2026-04-02T00:00:00"/>
    <s v="P012"/>
    <x v="4"/>
    <s v="Monitor"/>
    <s v="Dell"/>
    <x v="1"/>
    <x v="3"/>
    <n v="2"/>
    <n v="84500"/>
    <n v="106000"/>
    <n v="212000"/>
    <n v="43000"/>
    <x v="2"/>
    <x v="0"/>
    <n v="90"/>
  </r>
  <r>
    <s v="SALE-0008"/>
    <d v="2026-06-20T00:00:00"/>
    <s v="P013"/>
    <x v="5"/>
    <s v="Accessory"/>
    <s v="Logitech"/>
    <x v="2"/>
    <x v="3"/>
    <n v="2"/>
    <n v="14600"/>
    <n v="19100"/>
    <n v="38200"/>
    <n v="9000"/>
    <x v="0"/>
    <x v="0"/>
    <n v="30"/>
  </r>
  <r>
    <s v="SALE-0009"/>
    <d v="2026-06-15T00:00:00"/>
    <s v="P011"/>
    <x v="6"/>
    <s v="Monitor"/>
    <s v="Samsung"/>
    <x v="1"/>
    <x v="1"/>
    <n v="-3"/>
    <n v="87100"/>
    <n v="98700"/>
    <n v="-296100"/>
    <n v="-34800"/>
    <x v="2"/>
    <x v="2"/>
    <n v="90"/>
  </r>
  <r>
    <s v="SALE-0010"/>
    <d v="2026-05-19T00:00:00"/>
    <s v="P015"/>
    <x v="7"/>
    <s v="Accessory"/>
    <s v="Generic"/>
    <x v="0"/>
    <x v="1"/>
    <n v="-2"/>
    <n v="11000"/>
    <n v="12600"/>
    <n v="-25200"/>
    <n v="-3200"/>
    <x v="1"/>
    <x v="2"/>
    <n v="30"/>
  </r>
  <r>
    <s v="SALE-0011"/>
    <d v="2026-03-02T00:00:00"/>
    <s v="P008"/>
    <x v="8"/>
    <s v="Desktop"/>
    <s v="Dell"/>
    <x v="1"/>
    <x v="3"/>
    <n v="1"/>
    <n v="279700"/>
    <n v="321000"/>
    <n v="321000"/>
    <n v="41300"/>
    <x v="2"/>
    <x v="0"/>
    <n v="180"/>
  </r>
  <r>
    <s v="SALE-0012"/>
    <d v="2026-05-13T00:00:00"/>
    <s v="P020"/>
    <x v="9"/>
    <s v="Accessory"/>
    <s v="Generic"/>
    <x v="2"/>
    <x v="0"/>
    <n v="-5"/>
    <n v="8800"/>
    <n v="10500"/>
    <n v="-52500"/>
    <n v="-8500"/>
    <x v="1"/>
    <x v="2"/>
    <n v="30"/>
  </r>
  <r>
    <s v="SALE-0013"/>
    <d v="2026-09-18T00:00:00"/>
    <s v="P011"/>
    <x v="6"/>
    <s v="Monitor"/>
    <s v="Samsung"/>
    <x v="1"/>
    <x v="0"/>
    <n v="1"/>
    <n v="71100"/>
    <n v="85800"/>
    <n v="85800"/>
    <n v="14700"/>
    <x v="1"/>
    <x v="0"/>
    <n v="90"/>
  </r>
  <r>
    <s v="SALE-0014"/>
    <d v="2026-01-05T00:00:00"/>
    <s v="P017"/>
    <x v="10"/>
    <s v="Storage"/>
    <s v="Kingston"/>
    <x v="3"/>
    <x v="1"/>
    <n v="-2"/>
    <n v="55400"/>
    <n v="63700"/>
    <n v="-127400"/>
    <n v="-16600"/>
    <x v="0"/>
    <x v="2"/>
    <n v="90"/>
  </r>
  <r>
    <s v="SALE-0015"/>
    <d v="2026-05-07T00:00:00"/>
    <s v="P004"/>
    <x v="0"/>
    <s v="Laptop"/>
    <s v="Dell"/>
    <x v="2"/>
    <x v="3"/>
    <n v="3"/>
    <n v="310100"/>
    <n v="401800"/>
    <n v="1205400"/>
    <n v="275100"/>
    <x v="0"/>
    <x v="0"/>
    <n v="180"/>
  </r>
  <r>
    <s v="SALE-0016"/>
    <d v="2026-03-10T00:00:00"/>
    <s v="P003"/>
    <x v="1"/>
    <s v="Laptop"/>
    <s v="Lenovo"/>
    <x v="1"/>
    <x v="1"/>
    <n v="-4"/>
    <n v="282500"/>
    <n v="362500"/>
    <n v="-1450000"/>
    <n v="-320000"/>
    <x v="3"/>
    <x v="2"/>
    <n v="180"/>
  </r>
  <r>
    <s v="SALE-0017"/>
    <d v="2026-04-17T00:00:00"/>
    <s v="P009"/>
    <x v="11"/>
    <s v="Desktop"/>
    <s v="HP"/>
    <x v="3"/>
    <x v="1"/>
    <n v="-4"/>
    <n v="228000"/>
    <n v="283000"/>
    <n v="-1132000"/>
    <n v="-220000"/>
    <x v="1"/>
    <x v="2"/>
    <n v="180"/>
  </r>
  <r>
    <s v="SALE-0018"/>
    <d v="2026-06-27T00:00:00"/>
    <s v="P015"/>
    <x v="7"/>
    <s v="Accessory"/>
    <s v="Generic"/>
    <x v="2"/>
    <x v="3"/>
    <n v="1"/>
    <n v="32200"/>
    <n v="39000"/>
    <n v="39000"/>
    <n v="6800"/>
    <x v="3"/>
    <x v="0"/>
    <n v="30"/>
  </r>
  <r>
    <s v="SALE-0019"/>
    <d v="2026-06-23T00:00:00"/>
    <s v="P001"/>
    <x v="2"/>
    <s v="Laptop"/>
    <s v="Dell"/>
    <x v="2"/>
    <x v="3"/>
    <n v="1"/>
    <n v="189900"/>
    <n v="236700"/>
    <n v="236700"/>
    <n v="46800"/>
    <x v="1"/>
    <x v="0"/>
    <n v="180"/>
  </r>
  <r>
    <s v="SALE-0020"/>
    <d v="2026-09-04T00:00:00"/>
    <s v="P016"/>
    <x v="12"/>
    <s v="Storage"/>
    <s v="Kingston"/>
    <x v="1"/>
    <x v="1"/>
    <n v="-4"/>
    <n v="35700"/>
    <n v="40900"/>
    <n v="-163600"/>
    <n v="-20800"/>
    <x v="2"/>
    <x v="2"/>
    <n v="90"/>
  </r>
  <r>
    <s v="SALE-0021"/>
    <d v="2026-09-01T00:00:00"/>
    <s v="P007"/>
    <x v="13"/>
    <s v="Laptop"/>
    <s v="Acer"/>
    <x v="2"/>
    <x v="0"/>
    <n v="1"/>
    <n v="193200"/>
    <n v="241800"/>
    <n v="241800"/>
    <n v="48600"/>
    <x v="0"/>
    <x v="1"/>
    <n v="180"/>
  </r>
  <r>
    <s v="SALE-0022"/>
    <d v="2026-04-12T00:00:00"/>
    <s v="P013"/>
    <x v="5"/>
    <s v="Accessory"/>
    <s v="Logitech"/>
    <x v="0"/>
    <x v="3"/>
    <n v="1"/>
    <n v="27400"/>
    <n v="35100"/>
    <n v="35100"/>
    <n v="7700"/>
    <x v="2"/>
    <x v="0"/>
    <n v="30"/>
  </r>
  <r>
    <s v="SALE-0023"/>
    <d v="2026-02-24T00:00:00"/>
    <s v="P006"/>
    <x v="14"/>
    <s v="Laptop"/>
    <s v="Lenovo"/>
    <x v="2"/>
    <x v="0"/>
    <n v="4"/>
    <n v="219000"/>
    <n v="256200"/>
    <n v="1024800"/>
    <n v="148800"/>
    <x v="0"/>
    <x v="1"/>
    <n v="180"/>
  </r>
  <r>
    <s v="SALE-0024"/>
    <d v="2026-02-04T00:00:00"/>
    <s v="P008"/>
    <x v="8"/>
    <s v="Desktop"/>
    <s v="Dell"/>
    <x v="1"/>
    <x v="1"/>
    <n v="1"/>
    <n v="188300"/>
    <n v="229200"/>
    <n v="229200"/>
    <n v="40900"/>
    <x v="0"/>
    <x v="1"/>
    <n v="180"/>
  </r>
  <r>
    <s v="SALE-0025"/>
    <d v="2026-09-11T00:00:00"/>
    <s v="P013"/>
    <x v="5"/>
    <s v="Accessory"/>
    <s v="Logitech"/>
    <x v="1"/>
    <x v="3"/>
    <n v="1"/>
    <n v="14400"/>
    <n v="18400"/>
    <n v="18400"/>
    <n v="4000"/>
    <x v="1"/>
    <x v="1"/>
    <n v="30"/>
  </r>
  <r>
    <s v="SALE-0026"/>
    <d v="2026-02-03T00:00:00"/>
    <s v="P007"/>
    <x v="13"/>
    <s v="Laptop"/>
    <s v="Acer"/>
    <x v="2"/>
    <x v="1"/>
    <n v="1"/>
    <n v="315600"/>
    <n v="390000"/>
    <n v="390000"/>
    <n v="74400"/>
    <x v="3"/>
    <x v="0"/>
    <n v="180"/>
  </r>
  <r>
    <s v="SALE-0027"/>
    <d v="2026-02-08T00:00:00"/>
    <s v="P002"/>
    <x v="15"/>
    <s v="Laptop"/>
    <s v="HP"/>
    <x v="1"/>
    <x v="1"/>
    <n v="-1"/>
    <n v="314500"/>
    <n v="357300"/>
    <n v="-357300"/>
    <n v="-42800"/>
    <x v="0"/>
    <x v="2"/>
    <n v="180"/>
  </r>
  <r>
    <s v="SALE-0028"/>
    <d v="2026-09-29T00:00:00"/>
    <s v="P019"/>
    <x v="16"/>
    <s v="Memory"/>
    <s v="Kingston"/>
    <x v="3"/>
    <x v="2"/>
    <n v="2"/>
    <n v="27100"/>
    <n v="33600"/>
    <n v="67200"/>
    <n v="13000"/>
    <x v="3"/>
    <x v="1"/>
    <n v="90"/>
  </r>
  <r>
    <s v="SALE-0029"/>
    <d v="2026-08-27T00:00:00"/>
    <s v="P011"/>
    <x v="6"/>
    <s v="Monitor"/>
    <s v="Samsung"/>
    <x v="3"/>
    <x v="0"/>
    <n v="2"/>
    <n v="78100"/>
    <n v="93700"/>
    <n v="187400"/>
    <n v="31200"/>
    <x v="0"/>
    <x v="0"/>
    <n v="90"/>
  </r>
  <r>
    <s v="SALE-0030"/>
    <d v="2026-04-24T00:00:00"/>
    <s v="P015"/>
    <x v="7"/>
    <s v="Accessory"/>
    <s v="Generic"/>
    <x v="3"/>
    <x v="3"/>
    <n v="-1"/>
    <n v="24400"/>
    <n v="30100"/>
    <n v="-30100"/>
    <n v="-5700"/>
    <x v="1"/>
    <x v="2"/>
    <n v="30"/>
  </r>
  <r>
    <s v="SALE-0031"/>
    <d v="2026-06-08T00:00:00"/>
    <s v="P003"/>
    <x v="1"/>
    <s v="Laptop"/>
    <s v="Lenovo"/>
    <x v="2"/>
    <x v="2"/>
    <n v="-1"/>
    <n v="303100"/>
    <n v="361900"/>
    <n v="-361900"/>
    <n v="-58800"/>
    <x v="0"/>
    <x v="2"/>
    <n v="180"/>
  </r>
  <r>
    <s v="SALE-0032"/>
    <d v="2026-05-24T00:00:00"/>
    <s v="P005"/>
    <x v="17"/>
    <s v="Laptop"/>
    <s v="HP"/>
    <x v="3"/>
    <x v="3"/>
    <n v="2"/>
    <n v="217000"/>
    <n v="281700"/>
    <n v="563400"/>
    <n v="129400"/>
    <x v="1"/>
    <x v="0"/>
    <n v="180"/>
  </r>
  <r>
    <s v="SALE-0033"/>
    <d v="2026-01-31T00:00:00"/>
    <s v="P007"/>
    <x v="13"/>
    <s v="Laptop"/>
    <s v="Acer"/>
    <x v="2"/>
    <x v="1"/>
    <n v="1"/>
    <n v="276200"/>
    <n v="356500"/>
    <n v="356500"/>
    <n v="80300"/>
    <x v="1"/>
    <x v="0"/>
    <n v="180"/>
  </r>
  <r>
    <s v="SALE-0034"/>
    <d v="2026-03-28T00:00:00"/>
    <s v="P002"/>
    <x v="15"/>
    <s v="Laptop"/>
    <s v="HP"/>
    <x v="0"/>
    <x v="1"/>
    <n v="2"/>
    <n v="180500"/>
    <n v="230000"/>
    <n v="460000"/>
    <n v="99000"/>
    <x v="0"/>
    <x v="0"/>
    <n v="180"/>
  </r>
  <r>
    <s v="SALE-0035"/>
    <d v="2026-01-23T00:00:00"/>
    <s v="P004"/>
    <x v="0"/>
    <s v="Laptop"/>
    <s v="Dell"/>
    <x v="3"/>
    <x v="3"/>
    <n v="-3"/>
    <n v="190500"/>
    <n v="247000"/>
    <n v="-741000"/>
    <n v="-169500"/>
    <x v="2"/>
    <x v="2"/>
    <n v="180"/>
  </r>
  <r>
    <s v="SALE-0036"/>
    <d v="2026-07-07T00:00:00"/>
    <s v="P005"/>
    <x v="17"/>
    <s v="Laptop"/>
    <s v="HP"/>
    <x v="1"/>
    <x v="3"/>
    <n v="4"/>
    <n v="185900"/>
    <n v="221800"/>
    <n v="887200"/>
    <n v="143600"/>
    <x v="0"/>
    <x v="0"/>
    <n v="180"/>
  </r>
  <r>
    <s v="SALE-0037"/>
    <d v="2026-03-25T00:00:00"/>
    <s v="P012"/>
    <x v="4"/>
    <s v="Monitor"/>
    <s v="Dell"/>
    <x v="1"/>
    <x v="3"/>
    <n v="-1"/>
    <n v="107900"/>
    <n v="139900"/>
    <n v="-139900"/>
    <n v="-32000"/>
    <x v="3"/>
    <x v="2"/>
    <n v="90"/>
  </r>
  <r>
    <s v="SALE-0038"/>
    <d v="2026-05-12T00:00:00"/>
    <s v="P014"/>
    <x v="18"/>
    <s v="Accessory"/>
    <s v="HP"/>
    <x v="3"/>
    <x v="3"/>
    <n v="1"/>
    <n v="7700"/>
    <n v="9800"/>
    <n v="9800"/>
    <n v="2100"/>
    <x v="0"/>
    <x v="1"/>
    <n v="30"/>
  </r>
  <r>
    <s v="SALE-0039"/>
    <d v="2026-07-03T00:00:00"/>
    <s v="P013"/>
    <x v="5"/>
    <s v="Accessory"/>
    <s v="Logitech"/>
    <x v="3"/>
    <x v="3"/>
    <n v="1"/>
    <n v="31400"/>
    <n v="40600"/>
    <n v="40600"/>
    <n v="9200"/>
    <x v="3"/>
    <x v="1"/>
    <n v="30"/>
  </r>
  <r>
    <s v="SALE-0040"/>
    <d v="2026-05-27T00:00:00"/>
    <s v="P001"/>
    <x v="2"/>
    <s v="Laptop"/>
    <s v="Dell"/>
    <x v="3"/>
    <x v="1"/>
    <n v="1"/>
    <n v="272400"/>
    <n v="326800"/>
    <n v="326800"/>
    <n v="54400"/>
    <x v="1"/>
    <x v="0"/>
    <n v="180"/>
  </r>
  <r>
    <s v="SALE-0041"/>
    <d v="2026-01-24T00:00:00"/>
    <s v="P001"/>
    <x v="2"/>
    <s v="Laptop"/>
    <s v="Dell"/>
    <x v="2"/>
    <x v="1"/>
    <n v="1"/>
    <n v="196100"/>
    <n v="257700"/>
    <n v="257700"/>
    <n v="61600"/>
    <x v="1"/>
    <x v="0"/>
    <n v="180"/>
  </r>
  <r>
    <s v="SALE-0042"/>
    <d v="2026-04-12T00:00:00"/>
    <s v="P011"/>
    <x v="6"/>
    <s v="Monitor"/>
    <s v="Samsung"/>
    <x v="3"/>
    <x v="0"/>
    <n v="-1"/>
    <n v="89000"/>
    <n v="117200"/>
    <n v="-117200"/>
    <n v="-28200"/>
    <x v="2"/>
    <x v="2"/>
    <n v="90"/>
  </r>
  <r>
    <s v="SALE-0043"/>
    <d v="2026-07-10T00:00:00"/>
    <s v="P001"/>
    <x v="2"/>
    <s v="Laptop"/>
    <s v="Dell"/>
    <x v="0"/>
    <x v="0"/>
    <n v="2"/>
    <n v="252800"/>
    <n v="323900"/>
    <n v="647800"/>
    <n v="142200"/>
    <x v="1"/>
    <x v="0"/>
    <n v="180"/>
  </r>
  <r>
    <s v="SALE-0044"/>
    <d v="2026-09-21T00:00:00"/>
    <s v="P020"/>
    <x v="9"/>
    <s v="Accessory"/>
    <s v="Generic"/>
    <x v="3"/>
    <x v="1"/>
    <n v="2"/>
    <n v="15800"/>
    <n v="20400"/>
    <n v="40800"/>
    <n v="9200"/>
    <x v="1"/>
    <x v="0"/>
    <n v="30"/>
  </r>
  <r>
    <s v="SALE-0045"/>
    <d v="2026-04-04T00:00:00"/>
    <s v="P013"/>
    <x v="5"/>
    <s v="Accessory"/>
    <s v="Logitech"/>
    <x v="3"/>
    <x v="1"/>
    <n v="1"/>
    <n v="26500"/>
    <n v="32600"/>
    <n v="32600"/>
    <n v="6100"/>
    <x v="0"/>
    <x v="1"/>
    <n v="30"/>
  </r>
  <r>
    <s v="SALE-0046"/>
    <d v="2026-08-31T00:00:00"/>
    <s v="P010"/>
    <x v="3"/>
    <s v="Desktop"/>
    <s v="Lenovo"/>
    <x v="0"/>
    <x v="1"/>
    <n v="2"/>
    <n v="201600"/>
    <n v="243100"/>
    <n v="486200"/>
    <n v="83000"/>
    <x v="3"/>
    <x v="0"/>
    <n v="180"/>
  </r>
  <r>
    <s v="SALE-0047"/>
    <d v="2026-02-17T00:00:00"/>
    <s v="P017"/>
    <x v="10"/>
    <s v="Storage"/>
    <s v="Kingston"/>
    <x v="3"/>
    <x v="2"/>
    <n v="2"/>
    <n v="48700"/>
    <n v="63300"/>
    <n v="126600"/>
    <n v="29200"/>
    <x v="0"/>
    <x v="0"/>
    <n v="90"/>
  </r>
  <r>
    <s v="SALE-0048"/>
    <d v="2026-01-28T00:00:00"/>
    <s v="P008"/>
    <x v="8"/>
    <s v="Desktop"/>
    <s v="Dell"/>
    <x v="1"/>
    <x v="1"/>
    <n v="1"/>
    <n v="244000"/>
    <n v="284200"/>
    <n v="284200"/>
    <n v="40200"/>
    <x v="0"/>
    <x v="0"/>
    <n v="180"/>
  </r>
  <r>
    <s v="SALE-0049"/>
    <d v="2026-09-15T00:00:00"/>
    <s v="P015"/>
    <x v="7"/>
    <s v="Accessory"/>
    <s v="Generic"/>
    <x v="0"/>
    <x v="3"/>
    <n v="1"/>
    <n v="18600"/>
    <n v="23200"/>
    <n v="23200"/>
    <n v="4600"/>
    <x v="3"/>
    <x v="1"/>
    <n v="30"/>
  </r>
  <r>
    <s v="SALE-0050"/>
    <d v="2026-04-27T00:00:00"/>
    <s v="P001"/>
    <x v="2"/>
    <s v="Laptop"/>
    <s v="Dell"/>
    <x v="1"/>
    <x v="1"/>
    <n v="3"/>
    <n v="305000"/>
    <n v="394100"/>
    <n v="1182300"/>
    <n v="267300"/>
    <x v="0"/>
    <x v="1"/>
    <n v="180"/>
  </r>
  <r>
    <s v="SALE-0051"/>
    <d v="2026-06-16T00:00:00"/>
    <s v="P018"/>
    <x v="19"/>
    <s v="Memory"/>
    <s v="Kingston"/>
    <x v="0"/>
    <x v="1"/>
    <n v="1"/>
    <n v="27200"/>
    <n v="35100"/>
    <n v="35100"/>
    <n v="7900"/>
    <x v="2"/>
    <x v="1"/>
    <n v="90"/>
  </r>
  <r>
    <s v="SALE-0052"/>
    <d v="2026-05-26T00:00:00"/>
    <s v="P006"/>
    <x v="14"/>
    <s v="Laptop"/>
    <s v="Lenovo"/>
    <x v="0"/>
    <x v="3"/>
    <n v="1"/>
    <n v="284100"/>
    <n v="345200"/>
    <n v="345200"/>
    <n v="61100"/>
    <x v="1"/>
    <x v="0"/>
    <n v="180"/>
  </r>
  <r>
    <s v="SALE-0053"/>
    <d v="2026-02-15T00:00:00"/>
    <s v="P015"/>
    <x v="7"/>
    <s v="Accessory"/>
    <s v="Generic"/>
    <x v="1"/>
    <x v="3"/>
    <n v="1"/>
    <n v="9200"/>
    <n v="10800"/>
    <n v="10800"/>
    <n v="1600"/>
    <x v="3"/>
    <x v="0"/>
    <n v="30"/>
  </r>
  <r>
    <s v="SALE-0054"/>
    <d v="2026-06-23T00:00:00"/>
    <s v="P013"/>
    <x v="5"/>
    <s v="Accessory"/>
    <s v="Logitech"/>
    <x v="0"/>
    <x v="1"/>
    <n v="1"/>
    <n v="26400"/>
    <n v="33300"/>
    <n v="33300"/>
    <n v="6900"/>
    <x v="0"/>
    <x v="1"/>
    <n v="30"/>
  </r>
  <r>
    <s v="SALE-0055"/>
    <d v="2026-07-18T00:00:00"/>
    <s v="P007"/>
    <x v="13"/>
    <s v="Laptop"/>
    <s v="Acer"/>
    <x v="0"/>
    <x v="0"/>
    <n v="2"/>
    <n v="296600"/>
    <n v="355300"/>
    <n v="710600"/>
    <n v="117400"/>
    <x v="1"/>
    <x v="0"/>
    <n v="180"/>
  </r>
  <r>
    <s v="SALE-0056"/>
    <d v="2026-04-27T00:00:00"/>
    <s v="P010"/>
    <x v="3"/>
    <s v="Desktop"/>
    <s v="Lenovo"/>
    <x v="0"/>
    <x v="3"/>
    <n v="4"/>
    <n v="252900"/>
    <n v="326400"/>
    <n v="1305600"/>
    <n v="294000"/>
    <x v="1"/>
    <x v="1"/>
    <n v="180"/>
  </r>
  <r>
    <s v="SALE-0057"/>
    <d v="2026-03-30T00:00:00"/>
    <s v="P014"/>
    <x v="18"/>
    <s v="Accessory"/>
    <s v="HP"/>
    <x v="0"/>
    <x v="3"/>
    <n v="2"/>
    <n v="20600"/>
    <n v="24700"/>
    <n v="49400"/>
    <n v="8200"/>
    <x v="0"/>
    <x v="1"/>
    <n v="30"/>
  </r>
  <r>
    <s v="SALE-0058"/>
    <d v="2026-03-15T00:00:00"/>
    <s v="P013"/>
    <x v="5"/>
    <s v="Accessory"/>
    <s v="Logitech"/>
    <x v="0"/>
    <x v="3"/>
    <n v="1"/>
    <n v="23600"/>
    <n v="29600"/>
    <n v="29600"/>
    <n v="6000"/>
    <x v="0"/>
    <x v="1"/>
    <n v="30"/>
  </r>
  <r>
    <s v="SALE-0059"/>
    <d v="2026-05-27T00:00:00"/>
    <s v="P009"/>
    <x v="11"/>
    <s v="Desktop"/>
    <s v="HP"/>
    <x v="0"/>
    <x v="2"/>
    <n v="1"/>
    <n v="211700"/>
    <n v="246100"/>
    <n v="246100"/>
    <n v="34400"/>
    <x v="0"/>
    <x v="1"/>
    <n v="180"/>
  </r>
  <r>
    <s v="SALE-0060"/>
    <d v="2026-04-29T00:00:00"/>
    <s v="P016"/>
    <x v="12"/>
    <s v="Storage"/>
    <s v="Kingston"/>
    <x v="2"/>
    <x v="0"/>
    <n v="5"/>
    <n v="26000"/>
    <n v="31900"/>
    <n v="159500"/>
    <n v="29500"/>
    <x v="0"/>
    <x v="0"/>
    <n v="90"/>
  </r>
  <r>
    <s v="SALE-0061"/>
    <d v="2026-09-04T00:00:00"/>
    <s v="P008"/>
    <x v="8"/>
    <s v="Desktop"/>
    <s v="Dell"/>
    <x v="2"/>
    <x v="3"/>
    <n v="1"/>
    <n v="191900"/>
    <n v="215700"/>
    <n v="215700"/>
    <n v="23800"/>
    <x v="2"/>
    <x v="0"/>
    <n v="180"/>
  </r>
  <r>
    <s v="SALE-0062"/>
    <d v="2026-03-29T00:00:00"/>
    <s v="P009"/>
    <x v="11"/>
    <s v="Desktop"/>
    <s v="HP"/>
    <x v="3"/>
    <x v="0"/>
    <n v="2"/>
    <n v="254400"/>
    <n v="293500"/>
    <n v="587000"/>
    <n v="78200"/>
    <x v="0"/>
    <x v="0"/>
    <n v="180"/>
  </r>
  <r>
    <s v="SALE-0063"/>
    <d v="2026-02-12T00:00:00"/>
    <s v="P010"/>
    <x v="3"/>
    <s v="Desktop"/>
    <s v="Lenovo"/>
    <x v="1"/>
    <x v="0"/>
    <n v="1"/>
    <n v="233300"/>
    <n v="303700"/>
    <n v="303700"/>
    <n v="70400"/>
    <x v="1"/>
    <x v="0"/>
    <n v="180"/>
  </r>
  <r>
    <s v="SALE-0064"/>
    <d v="2026-07-01T00:00:00"/>
    <s v="P020"/>
    <x v="9"/>
    <s v="Accessory"/>
    <s v="Generic"/>
    <x v="0"/>
    <x v="2"/>
    <n v="2"/>
    <n v="29600"/>
    <n v="37900"/>
    <n v="75800"/>
    <n v="16600"/>
    <x v="0"/>
    <x v="0"/>
    <n v="30"/>
  </r>
  <r>
    <s v="SALE-0065"/>
    <d v="2026-02-28T00:00:00"/>
    <s v="P017"/>
    <x v="10"/>
    <s v="Storage"/>
    <s v="Kingston"/>
    <x v="0"/>
    <x v="2"/>
    <n v="1"/>
    <n v="57400"/>
    <n v="64400"/>
    <n v="64400"/>
    <n v="7000"/>
    <x v="2"/>
    <x v="1"/>
    <n v="90"/>
  </r>
  <r>
    <s v="SALE-0066"/>
    <d v="2026-09-09T00:00:00"/>
    <s v="P005"/>
    <x v="17"/>
    <s v="Laptop"/>
    <s v="HP"/>
    <x v="0"/>
    <x v="1"/>
    <n v="4"/>
    <n v="241000"/>
    <n v="305300"/>
    <n v="1221200"/>
    <n v="257200"/>
    <x v="1"/>
    <x v="0"/>
    <n v="180"/>
  </r>
  <r>
    <s v="SALE-0067"/>
    <d v="2026-05-09T00:00:00"/>
    <s v="P011"/>
    <x v="6"/>
    <s v="Monitor"/>
    <s v="Samsung"/>
    <x v="0"/>
    <x v="1"/>
    <n v="1"/>
    <n v="111800"/>
    <n v="143800"/>
    <n v="143800"/>
    <n v="32000"/>
    <x v="1"/>
    <x v="1"/>
    <n v="90"/>
  </r>
  <r>
    <s v="SALE-0068"/>
    <d v="2026-05-17T00:00:00"/>
    <s v="P001"/>
    <x v="2"/>
    <s v="Laptop"/>
    <s v="Dell"/>
    <x v="3"/>
    <x v="2"/>
    <n v="1"/>
    <n v="249200"/>
    <n v="295300"/>
    <n v="295300"/>
    <n v="46100"/>
    <x v="1"/>
    <x v="0"/>
    <n v="180"/>
  </r>
  <r>
    <s v="SALE-0069"/>
    <d v="2026-09-12T00:00:00"/>
    <s v="P018"/>
    <x v="19"/>
    <s v="Memory"/>
    <s v="Kingston"/>
    <x v="1"/>
    <x v="1"/>
    <n v="1"/>
    <n v="18400"/>
    <n v="24100"/>
    <n v="24100"/>
    <n v="5700"/>
    <x v="2"/>
    <x v="1"/>
    <n v="90"/>
  </r>
  <r>
    <s v="SALE-0070"/>
    <d v="2026-06-10T00:00:00"/>
    <s v="P015"/>
    <x v="7"/>
    <s v="Accessory"/>
    <s v="Generic"/>
    <x v="3"/>
    <x v="1"/>
    <n v="1"/>
    <n v="29200"/>
    <n v="33200"/>
    <n v="33200"/>
    <n v="4000"/>
    <x v="1"/>
    <x v="0"/>
    <n v="30"/>
  </r>
  <r>
    <s v="SALE-0071"/>
    <d v="2026-05-23T00:00:00"/>
    <s v="P014"/>
    <x v="18"/>
    <s v="Accessory"/>
    <s v="HP"/>
    <x v="3"/>
    <x v="2"/>
    <n v="1"/>
    <n v="34900"/>
    <n v="42900"/>
    <n v="42900"/>
    <n v="8000"/>
    <x v="3"/>
    <x v="1"/>
    <n v="30"/>
  </r>
  <r>
    <s v="SALE-0072"/>
    <d v="2026-04-13T00:00:00"/>
    <s v="P004"/>
    <x v="0"/>
    <s v="Laptop"/>
    <s v="Dell"/>
    <x v="1"/>
    <x v="1"/>
    <n v="2"/>
    <n v="281000"/>
    <n v="332500"/>
    <n v="665000"/>
    <n v="103000"/>
    <x v="1"/>
    <x v="0"/>
    <n v="180"/>
  </r>
  <r>
    <s v="SALE-0073"/>
    <d v="2026-04-14T00:00:00"/>
    <s v="P019"/>
    <x v="16"/>
    <s v="Memory"/>
    <s v="Kingston"/>
    <x v="3"/>
    <x v="3"/>
    <n v="1"/>
    <n v="54100"/>
    <n v="66300"/>
    <n v="66300"/>
    <n v="12200"/>
    <x v="1"/>
    <x v="0"/>
    <n v="90"/>
  </r>
  <r>
    <s v="SALE-0074"/>
    <d v="2026-02-01T00:00:00"/>
    <s v="P006"/>
    <x v="14"/>
    <s v="Laptop"/>
    <s v="Lenovo"/>
    <x v="3"/>
    <x v="3"/>
    <n v="1"/>
    <n v="222300"/>
    <n v="280500"/>
    <n v="280500"/>
    <n v="58200"/>
    <x v="2"/>
    <x v="0"/>
    <n v="180"/>
  </r>
  <r>
    <s v="SALE-0075"/>
    <d v="2026-06-28T00:00:00"/>
    <s v="P004"/>
    <x v="0"/>
    <s v="Laptop"/>
    <s v="Dell"/>
    <x v="1"/>
    <x v="0"/>
    <n v="1"/>
    <n v="302200"/>
    <n v="373200"/>
    <n v="373200"/>
    <n v="71000"/>
    <x v="1"/>
    <x v="1"/>
    <n v="180"/>
  </r>
  <r>
    <s v="SALE-0076"/>
    <d v="2026-02-01T00:00:00"/>
    <s v="P016"/>
    <x v="12"/>
    <s v="Storage"/>
    <s v="Kingston"/>
    <x v="1"/>
    <x v="3"/>
    <n v="-1"/>
    <n v="30700"/>
    <n v="34800"/>
    <n v="-34800"/>
    <n v="-4100"/>
    <x v="1"/>
    <x v="2"/>
    <n v="90"/>
  </r>
  <r>
    <s v="SALE-0077"/>
    <d v="2026-04-30T00:00:00"/>
    <s v="P003"/>
    <x v="1"/>
    <s v="Laptop"/>
    <s v="Lenovo"/>
    <x v="0"/>
    <x v="1"/>
    <n v="-2"/>
    <n v="319100"/>
    <n v="365000"/>
    <n v="-730000"/>
    <n v="-91800"/>
    <x v="2"/>
    <x v="2"/>
    <n v="180"/>
  </r>
  <r>
    <s v="SALE-0078"/>
    <d v="2026-02-04T00:00:00"/>
    <s v="P010"/>
    <x v="3"/>
    <s v="Desktop"/>
    <s v="Lenovo"/>
    <x v="2"/>
    <x v="3"/>
    <n v="-1"/>
    <n v="264600"/>
    <n v="348700"/>
    <n v="-348700"/>
    <n v="-84100"/>
    <x v="3"/>
    <x v="2"/>
    <n v="180"/>
  </r>
  <r>
    <s v="SALE-0079"/>
    <d v="2026-03-26T00:00:00"/>
    <s v="P009"/>
    <x v="11"/>
    <s v="Desktop"/>
    <s v="HP"/>
    <x v="2"/>
    <x v="1"/>
    <n v="1"/>
    <n v="242600"/>
    <n v="279300"/>
    <n v="279300"/>
    <n v="36700"/>
    <x v="2"/>
    <x v="0"/>
    <n v="180"/>
  </r>
  <r>
    <s v="SALE-0080"/>
    <d v="2026-08-25T00:00:00"/>
    <s v="P020"/>
    <x v="9"/>
    <s v="Accessory"/>
    <s v="Generic"/>
    <x v="2"/>
    <x v="3"/>
    <n v="1"/>
    <n v="20200"/>
    <n v="22800"/>
    <n v="22800"/>
    <n v="2600"/>
    <x v="1"/>
    <x v="0"/>
    <n v="30"/>
  </r>
  <r>
    <s v="SALE-0081"/>
    <d v="2026-04-30T00:00:00"/>
    <s v="P019"/>
    <x v="16"/>
    <s v="Memory"/>
    <s v="Kingston"/>
    <x v="1"/>
    <x v="2"/>
    <n v="-1"/>
    <n v="42500"/>
    <n v="55500"/>
    <n v="-55500"/>
    <n v="-13000"/>
    <x v="3"/>
    <x v="2"/>
    <n v="90"/>
  </r>
  <r>
    <s v="SALE-0082"/>
    <d v="2026-06-01T00:00:00"/>
    <s v="P003"/>
    <x v="1"/>
    <s v="Laptop"/>
    <s v="Lenovo"/>
    <x v="0"/>
    <x v="0"/>
    <n v="-2"/>
    <n v="188300"/>
    <n v="240700"/>
    <n v="-481400"/>
    <n v="-104800"/>
    <x v="2"/>
    <x v="2"/>
    <n v="180"/>
  </r>
  <r>
    <s v="SALE-0083"/>
    <d v="2026-08-17T00:00:00"/>
    <s v="P010"/>
    <x v="3"/>
    <s v="Desktop"/>
    <s v="Lenovo"/>
    <x v="2"/>
    <x v="0"/>
    <n v="1"/>
    <n v="247000"/>
    <n v="323200"/>
    <n v="323200"/>
    <n v="76200"/>
    <x v="2"/>
    <x v="1"/>
    <n v="180"/>
  </r>
  <r>
    <s v="SALE-0084"/>
    <d v="2026-01-15T00:00:00"/>
    <s v="P011"/>
    <x v="6"/>
    <s v="Monitor"/>
    <s v="Samsung"/>
    <x v="3"/>
    <x v="0"/>
    <n v="-1"/>
    <n v="98200"/>
    <n v="110500"/>
    <n v="-110500"/>
    <n v="-12300"/>
    <x v="3"/>
    <x v="2"/>
    <n v="90"/>
  </r>
  <r>
    <s v="SALE-0085"/>
    <d v="2026-08-16T00:00:00"/>
    <s v="P016"/>
    <x v="12"/>
    <s v="Storage"/>
    <s v="Kingston"/>
    <x v="0"/>
    <x v="0"/>
    <n v="-1"/>
    <n v="50900"/>
    <n v="61500"/>
    <n v="-61500"/>
    <n v="-10600"/>
    <x v="2"/>
    <x v="2"/>
    <n v="90"/>
  </r>
  <r>
    <s v="SALE-0086"/>
    <d v="2026-06-22T00:00:00"/>
    <s v="P012"/>
    <x v="4"/>
    <s v="Monitor"/>
    <s v="Dell"/>
    <x v="0"/>
    <x v="1"/>
    <n v="1"/>
    <n v="87500"/>
    <n v="103600"/>
    <n v="103600"/>
    <n v="16100"/>
    <x v="1"/>
    <x v="0"/>
    <n v="90"/>
  </r>
  <r>
    <s v="SALE-0087"/>
    <d v="2026-05-14T00:00:00"/>
    <s v="P013"/>
    <x v="5"/>
    <s v="Accessory"/>
    <s v="Logitech"/>
    <x v="3"/>
    <x v="0"/>
    <n v="1"/>
    <n v="29800"/>
    <n v="36700"/>
    <n v="36700"/>
    <n v="6900"/>
    <x v="2"/>
    <x v="0"/>
    <n v="30"/>
  </r>
  <r>
    <s v="SALE-0088"/>
    <d v="2026-08-04T00:00:00"/>
    <s v="P017"/>
    <x v="10"/>
    <s v="Storage"/>
    <s v="Kingston"/>
    <x v="2"/>
    <x v="3"/>
    <n v="3"/>
    <n v="66200"/>
    <n v="74200"/>
    <n v="222600"/>
    <n v="24000"/>
    <x v="1"/>
    <x v="1"/>
    <n v="90"/>
  </r>
  <r>
    <s v="SALE-0089"/>
    <d v="2026-05-21T00:00:00"/>
    <s v="P020"/>
    <x v="9"/>
    <s v="Storage"/>
    <s v="Generic"/>
    <x v="1"/>
    <x v="2"/>
    <n v="2"/>
    <n v="28200"/>
    <n v="35100"/>
    <n v="70200"/>
    <n v="13800"/>
    <x v="2"/>
    <x v="0"/>
    <n v="30"/>
  </r>
  <r>
    <s v="SALE-0090"/>
    <d v="2026-03-27T00:00:00"/>
    <s v="P016"/>
    <x v="12"/>
    <s v="Storage"/>
    <s v="Kingston"/>
    <x v="3"/>
    <x v="0"/>
    <n v="2"/>
    <n v="31100"/>
    <n v="40900"/>
    <n v="81800"/>
    <n v="19600"/>
    <x v="2"/>
    <x v="0"/>
    <n v="90"/>
  </r>
  <r>
    <s v="SALE-0091"/>
    <d v="2026-03-24T00:00:00"/>
    <s v="P003"/>
    <x v="1"/>
    <s v="Laptop"/>
    <s v="Lenovo"/>
    <x v="0"/>
    <x v="2"/>
    <n v="1"/>
    <n v="211500"/>
    <n v="272500"/>
    <n v="272500"/>
    <n v="61000"/>
    <x v="1"/>
    <x v="0"/>
    <n v="180"/>
  </r>
  <r>
    <s v="SALE-0092"/>
    <d v="2026-03-20T00:00:00"/>
    <s v="P014"/>
    <x v="18"/>
    <s v="Accessory"/>
    <s v="HP"/>
    <x v="0"/>
    <x v="3"/>
    <n v="-1"/>
    <n v="30400"/>
    <n v="40000"/>
    <n v="-40000"/>
    <n v="-9600"/>
    <x v="3"/>
    <x v="2"/>
    <n v="30"/>
  </r>
  <r>
    <s v="SALE-0093"/>
    <d v="2026-05-21T00:00:00"/>
    <s v="P003"/>
    <x v="1"/>
    <s v="Laptop"/>
    <s v="Lenovo"/>
    <x v="2"/>
    <x v="2"/>
    <n v="-1"/>
    <n v="218700"/>
    <n v="279500"/>
    <n v="-279500"/>
    <n v="-60800"/>
    <x v="1"/>
    <x v="2"/>
    <n v="180"/>
  </r>
  <r>
    <s v="SALE-0094"/>
    <d v="2026-09-09T00:00:00"/>
    <s v="P019"/>
    <x v="16"/>
    <s v="Memory"/>
    <s v="Kingston"/>
    <x v="3"/>
    <x v="2"/>
    <n v="3"/>
    <n v="39500"/>
    <n v="49500"/>
    <n v="148500"/>
    <n v="30000"/>
    <x v="2"/>
    <x v="1"/>
    <n v="90"/>
  </r>
  <r>
    <s v="SALE-0095"/>
    <d v="2026-07-20T00:00:00"/>
    <s v="P015"/>
    <x v="7"/>
    <s v="Accessory"/>
    <s v="Generic"/>
    <x v="1"/>
    <x v="1"/>
    <n v="5"/>
    <n v="33100"/>
    <n v="42800"/>
    <n v="214000"/>
    <n v="48500"/>
    <x v="0"/>
    <x v="0"/>
    <n v="30"/>
  </r>
  <r>
    <s v="SALE-0096"/>
    <d v="2026-03-23T00:00:00"/>
    <s v="P011"/>
    <x v="6"/>
    <s v="Monitor"/>
    <s v="Samsung"/>
    <x v="0"/>
    <x v="0"/>
    <n v="3"/>
    <n v="106000"/>
    <n v="133700"/>
    <n v="401100"/>
    <n v="83100"/>
    <x v="3"/>
    <x v="1"/>
    <n v="90"/>
  </r>
  <r>
    <s v="SALE-0097"/>
    <d v="2026-02-25T00:00:00"/>
    <s v="P017"/>
    <x v="10"/>
    <s v="Storage"/>
    <s v="Kingston"/>
    <x v="0"/>
    <x v="0"/>
    <n v="1"/>
    <n v="73300"/>
    <n v="87000"/>
    <n v="87000"/>
    <n v="13700"/>
    <x v="3"/>
    <x v="1"/>
    <n v="90"/>
  </r>
  <r>
    <s v="SALE-0098"/>
    <d v="2026-06-27T00:00:00"/>
    <s v="P014"/>
    <x v="18"/>
    <s v="Accessory"/>
    <s v="HP"/>
    <x v="0"/>
    <x v="0"/>
    <n v="1"/>
    <n v="31400"/>
    <n v="41300"/>
    <n v="41300"/>
    <n v="9900"/>
    <x v="1"/>
    <x v="0"/>
    <n v="30"/>
  </r>
  <r>
    <s v="SALE-0099"/>
    <d v="2026-01-23T00:00:00"/>
    <s v="P018"/>
    <x v="19"/>
    <s v="Memory"/>
    <s v="Kingston"/>
    <x v="2"/>
    <x v="3"/>
    <n v="2"/>
    <n v="32100"/>
    <n v="38000"/>
    <n v="76000"/>
    <n v="11800"/>
    <x v="1"/>
    <x v="1"/>
    <n v="90"/>
  </r>
  <r>
    <s v="SALE-0100"/>
    <d v="2026-08-20T00:00:00"/>
    <s v="P008"/>
    <x v="8"/>
    <s v="Desktop"/>
    <s v="Dell"/>
    <x v="1"/>
    <x v="2"/>
    <n v="1"/>
    <n v="252100"/>
    <n v="304200"/>
    <n v="304200"/>
    <n v="52100"/>
    <x v="0"/>
    <x v="0"/>
    <n v="180"/>
  </r>
  <r>
    <s v="SALE-0101"/>
    <d v="2026-03-20T00:00:00"/>
    <s v="P002"/>
    <x v="15"/>
    <s v="Laptop"/>
    <s v="HP"/>
    <x v="1"/>
    <x v="1"/>
    <n v="1"/>
    <n v="225400"/>
    <n v="255000"/>
    <n v="255000"/>
    <n v="29600"/>
    <x v="3"/>
    <x v="1"/>
    <n v="180"/>
  </r>
  <r>
    <s v="SALE-0102"/>
    <d v="2026-09-16T00:00:00"/>
    <s v="P006"/>
    <x v="14"/>
    <s v="Laptop"/>
    <s v="Lenovo"/>
    <x v="1"/>
    <x v="3"/>
    <n v="1"/>
    <n v="204500"/>
    <n v="254000"/>
    <n v="254000"/>
    <n v="49500"/>
    <x v="2"/>
    <x v="0"/>
    <n v="180"/>
  </r>
  <r>
    <s v="SALE-0103"/>
    <d v="2026-06-01T00:00:00"/>
    <s v="P009"/>
    <x v="11"/>
    <s v="Desktop"/>
    <s v="HP"/>
    <x v="1"/>
    <x v="0"/>
    <n v="3"/>
    <n v="220600"/>
    <n v="276500"/>
    <n v="829500"/>
    <n v="167700"/>
    <x v="2"/>
    <x v="1"/>
    <n v="180"/>
  </r>
  <r>
    <s v="SALE-0104"/>
    <d v="2026-08-26T00:00:00"/>
    <s v="P012"/>
    <x v="4"/>
    <s v="Monitor"/>
    <s v="Dell"/>
    <x v="3"/>
    <x v="3"/>
    <n v="4"/>
    <n v="119300"/>
    <n v="140800"/>
    <n v="563200"/>
    <n v="86000"/>
    <x v="2"/>
    <x v="0"/>
    <n v="90"/>
  </r>
  <r>
    <s v="SALE-0105"/>
    <d v="2026-06-05T00:00:00"/>
    <s v="P016"/>
    <x v="12"/>
    <s v="Storage"/>
    <s v="Kingston"/>
    <x v="2"/>
    <x v="1"/>
    <n v="1"/>
    <n v="30300"/>
    <n v="36200"/>
    <n v="36200"/>
    <n v="5900"/>
    <x v="1"/>
    <x v="0"/>
    <n v="90"/>
  </r>
  <r>
    <s v="SALE-0106"/>
    <d v="2026-09-16T00:00:00"/>
    <s v="P001"/>
    <x v="2"/>
    <s v="Laptop"/>
    <s v="Dell"/>
    <x v="3"/>
    <x v="3"/>
    <n v="2"/>
    <n v="259200"/>
    <n v="325900"/>
    <n v="651800"/>
    <n v="133400"/>
    <x v="1"/>
    <x v="0"/>
    <n v="180"/>
  </r>
  <r>
    <s v="SALE-0107"/>
    <d v="2026-02-23T00:00:00"/>
    <s v="P008"/>
    <x v="8"/>
    <s v="Desktop"/>
    <s v="Dell"/>
    <x v="2"/>
    <x v="2"/>
    <n v="2"/>
    <n v="240000"/>
    <n v="298600"/>
    <n v="597200"/>
    <n v="117200"/>
    <x v="2"/>
    <x v="0"/>
    <n v="180"/>
  </r>
  <r>
    <s v="SALE-0108"/>
    <d v="2026-06-21T00:00:00"/>
    <s v="P002"/>
    <x v="15"/>
    <s v="Laptop"/>
    <s v="HP"/>
    <x v="0"/>
    <x v="3"/>
    <n v="1"/>
    <n v="261100"/>
    <n v="330700"/>
    <n v="330700"/>
    <n v="69600"/>
    <x v="3"/>
    <x v="0"/>
    <n v="180"/>
  </r>
  <r>
    <s v="SALE-0109"/>
    <d v="2026-05-24T00:00:00"/>
    <s v="P005"/>
    <x v="17"/>
    <s v="Laptop"/>
    <s v="HP"/>
    <x v="1"/>
    <x v="2"/>
    <n v="-1"/>
    <n v="290100"/>
    <n v="375800"/>
    <n v="-375800"/>
    <n v="-85700"/>
    <x v="2"/>
    <x v="2"/>
    <n v="180"/>
  </r>
  <r>
    <s v="SALE-0110"/>
    <d v="2026-03-18T00:00:00"/>
    <s v="P010"/>
    <x v="3"/>
    <s v="Desktop"/>
    <s v="Lenovo"/>
    <x v="1"/>
    <x v="1"/>
    <n v="1"/>
    <n v="252100"/>
    <n v="299400"/>
    <n v="299400"/>
    <n v="47300"/>
    <x v="1"/>
    <x v="0"/>
    <n v="180"/>
  </r>
  <r>
    <s v="SALE-0111"/>
    <d v="2026-07-12T00:00:00"/>
    <s v="P003"/>
    <x v="1"/>
    <s v="Laptop"/>
    <s v="Lenovo"/>
    <x v="3"/>
    <x v="1"/>
    <n v="1"/>
    <n v="290700"/>
    <n v="326400"/>
    <n v="326400"/>
    <n v="35700"/>
    <x v="1"/>
    <x v="1"/>
    <n v="180"/>
  </r>
  <r>
    <s v="SALE-0112"/>
    <d v="2026-06-21T00:00:00"/>
    <s v="P004"/>
    <x v="0"/>
    <s v="Laptop"/>
    <s v="Dell"/>
    <x v="1"/>
    <x v="0"/>
    <n v="-2"/>
    <n v="274500"/>
    <n v="333300"/>
    <n v="-666600"/>
    <n v="-117600"/>
    <x v="2"/>
    <x v="2"/>
    <n v="180"/>
  </r>
  <r>
    <s v="SALE-0113"/>
    <d v="2026-06-09T00:00:00"/>
    <s v="P010"/>
    <x v="3"/>
    <s v="Desktop"/>
    <s v="Lenovo"/>
    <x v="0"/>
    <x v="0"/>
    <n v="1"/>
    <n v="241400"/>
    <n v="276000"/>
    <n v="276000"/>
    <n v="34600"/>
    <x v="0"/>
    <x v="0"/>
    <n v="180"/>
  </r>
  <r>
    <s v="SALE-0114"/>
    <d v="2026-08-07T00:00:00"/>
    <s v="P008"/>
    <x v="8"/>
    <s v="Desktop"/>
    <s v="Dell"/>
    <x v="1"/>
    <x v="1"/>
    <n v="-1"/>
    <n v="267600"/>
    <n v="307000"/>
    <n v="-307000"/>
    <n v="-39400"/>
    <x v="0"/>
    <x v="2"/>
    <n v="180"/>
  </r>
  <r>
    <s v="SALE-0115"/>
    <d v="2026-04-26T00:00:00"/>
    <s v="P016"/>
    <x v="12"/>
    <s v="Storage"/>
    <s v="Kingston"/>
    <x v="0"/>
    <x v="1"/>
    <n v="1"/>
    <n v="55800"/>
    <n v="73000"/>
    <n v="73000"/>
    <n v="17200"/>
    <x v="3"/>
    <x v="0"/>
    <n v="90"/>
  </r>
  <r>
    <s v="SALE-0116"/>
    <d v="2026-02-05T00:00:00"/>
    <s v="P012"/>
    <x v="4"/>
    <s v="Monitor"/>
    <s v="Dell"/>
    <x v="0"/>
    <x v="2"/>
    <n v="1"/>
    <n v="70500"/>
    <n v="88600"/>
    <n v="88600"/>
    <n v="18100"/>
    <x v="3"/>
    <x v="0"/>
    <n v="90"/>
  </r>
  <r>
    <s v="SALE-0117"/>
    <d v="2026-01-15T00:00:00"/>
    <s v="P004"/>
    <x v="0"/>
    <s v="Laptop"/>
    <s v="Dell"/>
    <x v="2"/>
    <x v="2"/>
    <n v="1"/>
    <n v="312900"/>
    <n v="402000"/>
    <n v="402000"/>
    <n v="89100"/>
    <x v="3"/>
    <x v="0"/>
    <n v="180"/>
  </r>
  <r>
    <s v="SALE-0118"/>
    <d v="2026-04-21T00:00:00"/>
    <s v="P005"/>
    <x v="17"/>
    <s v="Laptop"/>
    <s v="HP"/>
    <x v="1"/>
    <x v="3"/>
    <n v="-3"/>
    <n v="290200"/>
    <n v="336900"/>
    <n v="-1010700"/>
    <n v="-140100"/>
    <x v="1"/>
    <x v="2"/>
    <n v="180"/>
  </r>
  <r>
    <s v="SALE-0119"/>
    <d v="2026-03-12T00:00:00"/>
    <s v="P005"/>
    <x v="17"/>
    <s v="Laptop"/>
    <s v="HP"/>
    <x v="3"/>
    <x v="3"/>
    <n v="1"/>
    <n v="290400"/>
    <n v="359900"/>
    <n v="359900"/>
    <n v="69500"/>
    <x v="0"/>
    <x v="0"/>
    <n v="180"/>
  </r>
  <r>
    <s v="SALE-0120"/>
    <d v="2026-06-19T00:00:00"/>
    <s v="P001"/>
    <x v="2"/>
    <s v="Laptop"/>
    <s v="Dell"/>
    <x v="2"/>
    <x v="3"/>
    <n v="-2"/>
    <n v="198500"/>
    <n v="236500"/>
    <n v="-473000"/>
    <n v="-76000"/>
    <x v="1"/>
    <x v="2"/>
    <n v="180"/>
  </r>
  <r>
    <s v="SALE-0121"/>
    <d v="2026-09-05T00:00:00"/>
    <s v="P002"/>
    <x v="15"/>
    <s v="Laptop"/>
    <s v="HP"/>
    <x v="0"/>
    <x v="2"/>
    <n v="1"/>
    <n v="197700"/>
    <n v="238100"/>
    <n v="238100"/>
    <n v="40400"/>
    <x v="0"/>
    <x v="0"/>
    <n v="180"/>
  </r>
  <r>
    <s v="SALE-0122"/>
    <d v="2026-06-08T00:00:00"/>
    <s v="P015"/>
    <x v="7"/>
    <s v="Accessory"/>
    <s v="Generic"/>
    <x v="0"/>
    <x v="0"/>
    <n v="-1"/>
    <n v="21100"/>
    <n v="27600"/>
    <n v="-27600"/>
    <n v="-6500"/>
    <x v="0"/>
    <x v="2"/>
    <n v="30"/>
  </r>
  <r>
    <s v="SALE-0123"/>
    <d v="2026-02-11T00:00:00"/>
    <s v="P016"/>
    <x v="12"/>
    <s v="Storage"/>
    <s v="Kingston"/>
    <x v="2"/>
    <x v="2"/>
    <n v="1"/>
    <n v="67400"/>
    <n v="81200"/>
    <n v="81200"/>
    <n v="13800"/>
    <x v="3"/>
    <x v="1"/>
    <n v="90"/>
  </r>
  <r>
    <s v="SALE-0124"/>
    <d v="2026-07-19T00:00:00"/>
    <s v="P003"/>
    <x v="1"/>
    <s v="Laptop"/>
    <s v="Lenovo"/>
    <x v="3"/>
    <x v="1"/>
    <n v="2"/>
    <n v="197700"/>
    <n v="246100"/>
    <n v="492200"/>
    <n v="96800"/>
    <x v="2"/>
    <x v="0"/>
    <n v="180"/>
  </r>
  <r>
    <s v="SALE-0125"/>
    <d v="2026-04-25T00:00:00"/>
    <s v="P004"/>
    <x v="0"/>
    <s v="Laptop"/>
    <s v="Dell"/>
    <x v="0"/>
    <x v="1"/>
    <n v="-2"/>
    <n v="291000"/>
    <n v="332600"/>
    <n v="-665200"/>
    <n v="-83200"/>
    <x v="3"/>
    <x v="2"/>
    <n v="180"/>
  </r>
  <r>
    <s v="SALE-0126"/>
    <d v="2026-06-14T00:00:00"/>
    <s v="P014"/>
    <x v="18"/>
    <s v="Accessory"/>
    <s v="HP"/>
    <x v="0"/>
    <x v="2"/>
    <n v="1"/>
    <n v="16500"/>
    <n v="20000"/>
    <n v="20000"/>
    <n v="3500"/>
    <x v="1"/>
    <x v="0"/>
    <n v="30"/>
  </r>
  <r>
    <s v="SALE-0127"/>
    <d v="2026-02-17T00:00:00"/>
    <s v="P012"/>
    <x v="4"/>
    <s v="Monitor"/>
    <s v="Dell"/>
    <x v="2"/>
    <x v="1"/>
    <n v="1"/>
    <n v="117400"/>
    <n v="147600"/>
    <n v="147600"/>
    <n v="30200"/>
    <x v="0"/>
    <x v="0"/>
    <n v="90"/>
  </r>
  <r>
    <s v="SALE-0128"/>
    <d v="2026-06-22T00:00:00"/>
    <s v="P012"/>
    <x v="4"/>
    <s v="Monitor"/>
    <s v="Dell"/>
    <x v="2"/>
    <x v="1"/>
    <n v="-2"/>
    <n v="109600"/>
    <n v="134900"/>
    <n v="-269800"/>
    <n v="-50600"/>
    <x v="1"/>
    <x v="2"/>
    <n v="90"/>
  </r>
  <r>
    <s v="SALE-0129"/>
    <d v="2026-06-13T00:00:00"/>
    <s v="P014"/>
    <x v="18"/>
    <s v="Accessory"/>
    <s v="HP"/>
    <x v="3"/>
    <x v="0"/>
    <n v="-4"/>
    <n v="31300"/>
    <n v="39600"/>
    <n v="-158400"/>
    <n v="-33200"/>
    <x v="3"/>
    <x v="2"/>
    <n v="30"/>
  </r>
  <r>
    <s v="SALE-0130"/>
    <d v="2026-07-12T00:00:00"/>
    <s v="P005"/>
    <x v="17"/>
    <s v="Laptop"/>
    <s v="HP"/>
    <x v="2"/>
    <x v="2"/>
    <n v="-1"/>
    <n v="271900"/>
    <n v="316700"/>
    <n v="-316700"/>
    <n v="-44800"/>
    <x v="3"/>
    <x v="2"/>
    <n v="180"/>
  </r>
  <r>
    <s v="SALE-0131"/>
    <d v="2026-01-18T00:00:00"/>
    <s v="P014"/>
    <x v="18"/>
    <s v="Accessory"/>
    <s v="HP"/>
    <x v="3"/>
    <x v="0"/>
    <n v="-3"/>
    <n v="30700"/>
    <n v="40400"/>
    <n v="-121200"/>
    <n v="-29100"/>
    <x v="3"/>
    <x v="2"/>
    <n v="30"/>
  </r>
  <r>
    <s v="SALE-0132"/>
    <d v="2026-04-07T00:00:00"/>
    <s v="P009"/>
    <x v="11"/>
    <s v="Desktop"/>
    <s v="HP"/>
    <x v="1"/>
    <x v="1"/>
    <n v="1"/>
    <n v="247300"/>
    <n v="292300"/>
    <n v="292300"/>
    <n v="45000"/>
    <x v="0"/>
    <x v="0"/>
    <n v="180"/>
  </r>
  <r>
    <s v="SALE-0133"/>
    <d v="2026-04-25T00:00:00"/>
    <s v="P005"/>
    <x v="17"/>
    <s v="Laptop"/>
    <s v="HP"/>
    <x v="0"/>
    <x v="1"/>
    <n v="-1"/>
    <n v="283700"/>
    <n v="372900"/>
    <n v="-372900"/>
    <n v="-89200"/>
    <x v="2"/>
    <x v="2"/>
    <n v="180"/>
  </r>
  <r>
    <s v="SALE-0134"/>
    <d v="2026-02-17T00:00:00"/>
    <s v="P011"/>
    <x v="6"/>
    <s v="Monitor"/>
    <s v="Samsung"/>
    <x v="2"/>
    <x v="3"/>
    <n v="-1"/>
    <n v="73700"/>
    <n v="87100"/>
    <n v="-87100"/>
    <n v="-13400"/>
    <x v="3"/>
    <x v="2"/>
    <n v="90"/>
  </r>
  <r>
    <s v="SALE-0135"/>
    <d v="2026-09-10T00:00:00"/>
    <s v="P020"/>
    <x v="9"/>
    <s v="Accessory"/>
    <s v="Generic"/>
    <x v="0"/>
    <x v="1"/>
    <n v="1"/>
    <n v="8400"/>
    <n v="9500"/>
    <n v="9500"/>
    <n v="1100"/>
    <x v="1"/>
    <x v="1"/>
    <n v="30"/>
  </r>
  <r>
    <s v="SALE-0136"/>
    <d v="2026-09-11T00:00:00"/>
    <s v="P007"/>
    <x v="13"/>
    <s v="Laptop"/>
    <s v="Acer"/>
    <x v="3"/>
    <x v="0"/>
    <n v="1"/>
    <n v="285700"/>
    <n v="326500"/>
    <n v="326500"/>
    <n v="40800"/>
    <x v="3"/>
    <x v="0"/>
    <n v="180"/>
  </r>
  <r>
    <s v="SALE-0137"/>
    <d v="2026-03-16T00:00:00"/>
    <s v="P013"/>
    <x v="5"/>
    <s v="Accessory"/>
    <s v="Logitech"/>
    <x v="3"/>
    <x v="2"/>
    <n v="1"/>
    <n v="34600"/>
    <n v="39100"/>
    <n v="39100"/>
    <n v="4500"/>
    <x v="1"/>
    <x v="0"/>
    <n v="30"/>
  </r>
  <r>
    <s v="SALE-0138"/>
    <d v="2026-05-02T00:00:00"/>
    <s v="P004"/>
    <x v="0"/>
    <s v="Laptop"/>
    <s v="Dell"/>
    <x v="3"/>
    <x v="0"/>
    <n v="1"/>
    <n v="181100"/>
    <n v="229900"/>
    <n v="229900"/>
    <n v="48800"/>
    <x v="2"/>
    <x v="1"/>
    <n v="180"/>
  </r>
  <r>
    <s v="SALE-0139"/>
    <d v="2026-08-12T00:00:00"/>
    <s v="P002"/>
    <x v="15"/>
    <s v="Laptop"/>
    <s v="HP"/>
    <x v="0"/>
    <x v="1"/>
    <n v="1"/>
    <n v="241100"/>
    <n v="292200"/>
    <n v="292200"/>
    <n v="51100"/>
    <x v="1"/>
    <x v="0"/>
    <n v="180"/>
  </r>
  <r>
    <s v="SALE-0140"/>
    <d v="2026-08-28T00:00:00"/>
    <s v="P004"/>
    <x v="0"/>
    <s v="Laptop"/>
    <s v="Dell"/>
    <x v="3"/>
    <x v="0"/>
    <n v="-1"/>
    <n v="236700"/>
    <n v="310800"/>
    <n v="-310800"/>
    <n v="-74100"/>
    <x v="2"/>
    <x v="2"/>
    <n v="180"/>
  </r>
  <r>
    <s v="SALE-0141"/>
    <d v="2026-06-12T00:00:00"/>
    <s v="P004"/>
    <x v="0"/>
    <s v="Laptop"/>
    <s v="Dell"/>
    <x v="3"/>
    <x v="3"/>
    <n v="1"/>
    <n v="214100"/>
    <n v="265000"/>
    <n v="265000"/>
    <n v="50900"/>
    <x v="1"/>
    <x v="1"/>
    <n v="180"/>
  </r>
  <r>
    <s v="SALE-0142"/>
    <d v="2026-07-02T00:00:00"/>
    <s v="P006"/>
    <x v="14"/>
    <s v="Laptop"/>
    <s v="Lenovo"/>
    <x v="3"/>
    <x v="3"/>
    <n v="1"/>
    <n v="190700"/>
    <n v="237700"/>
    <n v="237700"/>
    <n v="47000"/>
    <x v="3"/>
    <x v="0"/>
    <n v="180"/>
  </r>
  <r>
    <s v="SALE-0143"/>
    <d v="2026-04-05T00:00:00"/>
    <s v="P004"/>
    <x v="0"/>
    <s v="Laptop"/>
    <s v="Dell"/>
    <x v="0"/>
    <x v="1"/>
    <n v="2"/>
    <n v="200500"/>
    <n v="232500"/>
    <n v="465000"/>
    <n v="64000"/>
    <x v="2"/>
    <x v="0"/>
    <n v="180"/>
  </r>
  <r>
    <s v="SALE-0144"/>
    <d v="2026-03-23T00:00:00"/>
    <s v="P019"/>
    <x v="16"/>
    <s v="Memory"/>
    <s v="Kingston"/>
    <x v="0"/>
    <x v="0"/>
    <n v="1"/>
    <n v="41800"/>
    <n v="55100"/>
    <n v="55100"/>
    <n v="13300"/>
    <x v="2"/>
    <x v="0"/>
    <n v="90"/>
  </r>
  <r>
    <s v="SALE-0145"/>
    <d v="2026-09-21T00:00:00"/>
    <s v="P015"/>
    <x v="7"/>
    <s v="Accessory"/>
    <s v="Generic"/>
    <x v="2"/>
    <x v="2"/>
    <n v="2"/>
    <n v="24700"/>
    <n v="31600"/>
    <n v="63200"/>
    <n v="13800"/>
    <x v="2"/>
    <x v="0"/>
    <n v="30"/>
  </r>
  <r>
    <s v="SALE-0146"/>
    <d v="2026-09-21T00:00:00"/>
    <s v="P015"/>
    <x v="7"/>
    <s v="Accessory"/>
    <s v="Generic"/>
    <x v="0"/>
    <x v="1"/>
    <n v="1"/>
    <n v="8100"/>
    <n v="9700"/>
    <n v="9700"/>
    <n v="1600"/>
    <x v="0"/>
    <x v="0"/>
    <n v="30"/>
  </r>
  <r>
    <s v="SALE-0147"/>
    <d v="2026-09-05T00:00:00"/>
    <s v="P015"/>
    <x v="7"/>
    <s v="Accessory"/>
    <s v="Generic"/>
    <x v="1"/>
    <x v="0"/>
    <n v="-1"/>
    <n v="32500"/>
    <n v="40100"/>
    <n v="-40100"/>
    <n v="-7600"/>
    <x v="2"/>
    <x v="2"/>
    <n v="30"/>
  </r>
  <r>
    <s v="SALE-0148"/>
    <d v="2026-09-20T00:00:00"/>
    <s v="P004"/>
    <x v="0"/>
    <s v="Laptop"/>
    <s v="Dell"/>
    <x v="1"/>
    <x v="0"/>
    <n v="5"/>
    <n v="293500"/>
    <n v="377900"/>
    <n v="1889500"/>
    <n v="422000"/>
    <x v="3"/>
    <x v="0"/>
    <n v="180"/>
  </r>
  <r>
    <s v="SALE-0149"/>
    <d v="2026-07-14T00:00:00"/>
    <s v="P015"/>
    <x v="7"/>
    <s v="Accessory"/>
    <s v="Generic"/>
    <x v="3"/>
    <x v="1"/>
    <n v="2"/>
    <n v="34700"/>
    <n v="42500"/>
    <n v="85000"/>
    <n v="15600"/>
    <x v="2"/>
    <x v="0"/>
    <n v="30"/>
  </r>
  <r>
    <s v="SALE-0150"/>
    <d v="2026-02-07T00:00:00"/>
    <s v="P011"/>
    <x v="6"/>
    <s v="Monitor"/>
    <s v="Samsung"/>
    <x v="3"/>
    <x v="0"/>
    <n v="2"/>
    <n v="102300"/>
    <n v="115600"/>
    <n v="231200"/>
    <n v="26600"/>
    <x v="2"/>
    <x v="0"/>
    <n v="90"/>
  </r>
  <r>
    <s v="SALE-0151"/>
    <d v="2026-03-22T00:00:00"/>
    <s v="P010"/>
    <x v="3"/>
    <s v="Desktop"/>
    <s v="Lenovo"/>
    <x v="3"/>
    <x v="0"/>
    <n v="-4"/>
    <n v="197700"/>
    <n v="255100"/>
    <n v="-1020400"/>
    <n v="-229600"/>
    <x v="3"/>
    <x v="2"/>
    <n v="180"/>
  </r>
  <r>
    <s v="SALE-0152"/>
    <d v="2026-02-17T00:00:00"/>
    <s v="P012"/>
    <x v="4"/>
    <s v="Monitor"/>
    <s v="Dell"/>
    <x v="3"/>
    <x v="1"/>
    <n v="2"/>
    <n v="82100"/>
    <n v="102700"/>
    <n v="205400"/>
    <n v="41200"/>
    <x v="1"/>
    <x v="0"/>
    <n v="90"/>
  </r>
  <r>
    <s v="SALE-0153"/>
    <d v="2026-02-21T00:00:00"/>
    <s v="P005"/>
    <x v="17"/>
    <s v="Laptop"/>
    <s v="HP"/>
    <x v="0"/>
    <x v="2"/>
    <n v="-2"/>
    <n v="273800"/>
    <n v="352000"/>
    <n v="-704000"/>
    <n v="-156400"/>
    <x v="0"/>
    <x v="2"/>
    <n v="180"/>
  </r>
  <r>
    <s v="SALE-0154"/>
    <d v="2026-04-13T00:00:00"/>
    <s v="P012"/>
    <x v="4"/>
    <s v="Monitor"/>
    <s v="Dell"/>
    <x v="1"/>
    <x v="3"/>
    <n v="1"/>
    <n v="82000"/>
    <n v="107400"/>
    <n v="107400"/>
    <n v="25400"/>
    <x v="3"/>
    <x v="1"/>
    <n v="90"/>
  </r>
  <r>
    <s v="SALE-0155"/>
    <d v="2026-10-01T00:00:00"/>
    <s v="P003"/>
    <x v="1"/>
    <s v="Laptop"/>
    <s v="Lenovo"/>
    <x v="2"/>
    <x v="2"/>
    <n v="-1"/>
    <n v="221400"/>
    <n v="282900"/>
    <n v="-282900"/>
    <n v="-61500"/>
    <x v="3"/>
    <x v="2"/>
    <n v="180"/>
  </r>
  <r>
    <s v="SALE-0156"/>
    <d v="2026-03-30T00:00:00"/>
    <s v="P020"/>
    <x v="9"/>
    <s v="Accessory"/>
    <s v="Generic"/>
    <x v="0"/>
    <x v="0"/>
    <n v="-3"/>
    <n v="17500"/>
    <n v="20200"/>
    <n v="-60600"/>
    <n v="-8100"/>
    <x v="2"/>
    <x v="2"/>
    <n v="30"/>
  </r>
  <r>
    <s v="SALE-0157"/>
    <d v="2026-08-22T00:00:00"/>
    <s v="P012"/>
    <x v="4"/>
    <s v="Monitor"/>
    <s v="Dell"/>
    <x v="1"/>
    <x v="3"/>
    <n v="1"/>
    <n v="102200"/>
    <n v="119300"/>
    <n v="119300"/>
    <n v="17100"/>
    <x v="1"/>
    <x v="0"/>
    <n v="90"/>
  </r>
  <r>
    <s v="SALE-0158"/>
    <d v="2026-08-18T00:00:00"/>
    <s v="P016"/>
    <x v="12"/>
    <s v="Storage"/>
    <s v="Kingston"/>
    <x v="0"/>
    <x v="2"/>
    <n v="-2"/>
    <n v="70200"/>
    <n v="81300"/>
    <n v="-162600"/>
    <n v="-22200"/>
    <x v="2"/>
    <x v="2"/>
    <n v="90"/>
  </r>
  <r>
    <s v="SALE-0159"/>
    <d v="2026-03-16T00:00:00"/>
    <s v="P017"/>
    <x v="10"/>
    <s v="Storage"/>
    <s v="Kingston"/>
    <x v="3"/>
    <x v="0"/>
    <n v="-3"/>
    <n v="51400"/>
    <n v="67500"/>
    <n v="-202500"/>
    <n v="-48300"/>
    <x v="2"/>
    <x v="2"/>
    <n v="90"/>
  </r>
  <r>
    <s v="SALE-0160"/>
    <d v="2026-05-30T00:00:00"/>
    <s v="P012"/>
    <x v="4"/>
    <s v="Monitor"/>
    <s v="Dell"/>
    <x v="2"/>
    <x v="3"/>
    <n v="3"/>
    <n v="95500"/>
    <n v="108900"/>
    <n v="326700"/>
    <n v="40200"/>
    <x v="1"/>
    <x v="0"/>
    <n v="90"/>
  </r>
  <r>
    <s v="SALE-0161"/>
    <d v="2026-08-23T00:00:00"/>
    <s v="P015"/>
    <x v="7"/>
    <s v="Accessory"/>
    <s v="Generic"/>
    <x v="3"/>
    <x v="0"/>
    <n v="1"/>
    <n v="32300"/>
    <n v="37100"/>
    <n v="37100"/>
    <n v="4800"/>
    <x v="2"/>
    <x v="0"/>
    <n v="30"/>
  </r>
  <r>
    <s v="SALE-0162"/>
    <d v="2026-07-15T00:00:00"/>
    <s v="P002"/>
    <x v="15"/>
    <s v="Laptop"/>
    <s v="HP"/>
    <x v="1"/>
    <x v="0"/>
    <n v="1"/>
    <n v="235500"/>
    <n v="281400"/>
    <n v="281400"/>
    <n v="45900"/>
    <x v="1"/>
    <x v="0"/>
    <n v="180"/>
  </r>
  <r>
    <s v="SALE-0163"/>
    <d v="2026-01-24T00:00:00"/>
    <s v="P004"/>
    <x v="0"/>
    <s v="Laptop"/>
    <s v="Dell"/>
    <x v="3"/>
    <x v="1"/>
    <n v="2"/>
    <n v="297500"/>
    <n v="371900"/>
    <n v="743800"/>
    <n v="148800"/>
    <x v="3"/>
    <x v="0"/>
    <n v="180"/>
  </r>
  <r>
    <s v="SALE-0164"/>
    <d v="2026-04-25T00:00:00"/>
    <s v="P016"/>
    <x v="12"/>
    <s v="Storage"/>
    <s v="Kingston"/>
    <x v="1"/>
    <x v="1"/>
    <n v="1"/>
    <n v="47400"/>
    <n v="53100"/>
    <n v="53100"/>
    <n v="5700"/>
    <x v="0"/>
    <x v="0"/>
    <n v="90"/>
  </r>
  <r>
    <s v="SALE-0165"/>
    <d v="2026-08-27T00:00:00"/>
    <s v="P010"/>
    <x v="3"/>
    <s v="Desktop"/>
    <s v="Lenovo"/>
    <x v="2"/>
    <x v="0"/>
    <n v="-1"/>
    <n v="196100"/>
    <n v="224400"/>
    <n v="-224400"/>
    <n v="-28300"/>
    <x v="2"/>
    <x v="2"/>
    <n v="180"/>
  </r>
  <r>
    <s v="SALE-0166"/>
    <d v="2026-06-03T00:00:00"/>
    <s v="P020"/>
    <x v="9"/>
    <s v="Accessory"/>
    <s v="Generic"/>
    <x v="0"/>
    <x v="0"/>
    <n v="2"/>
    <n v="22000"/>
    <n v="27400"/>
    <n v="54800"/>
    <n v="10800"/>
    <x v="1"/>
    <x v="0"/>
    <n v="30"/>
  </r>
  <r>
    <s v="SALE-0167"/>
    <d v="2026-07-08T00:00:00"/>
    <s v="P008"/>
    <x v="8"/>
    <s v="Desktop"/>
    <s v="Dell"/>
    <x v="2"/>
    <x v="0"/>
    <n v="-2"/>
    <n v="232800"/>
    <n v="269500"/>
    <n v="-539000"/>
    <n v="-73400"/>
    <x v="2"/>
    <x v="2"/>
    <n v="180"/>
  </r>
  <r>
    <s v="SALE-0168"/>
    <d v="2026-07-06T00:00:00"/>
    <s v="P016"/>
    <x v="12"/>
    <s v="Storage"/>
    <s v="Kingston"/>
    <x v="2"/>
    <x v="2"/>
    <n v="1"/>
    <n v="27200"/>
    <n v="32600"/>
    <n v="32600"/>
    <n v="5400"/>
    <x v="3"/>
    <x v="0"/>
    <n v="90"/>
  </r>
  <r>
    <s v="SALE-0169"/>
    <d v="2026-07-04T00:00:00"/>
    <s v="P004"/>
    <x v="0"/>
    <s v="Laptop"/>
    <s v="Dell"/>
    <x v="3"/>
    <x v="3"/>
    <n v="1"/>
    <n v="288000"/>
    <n v="364900"/>
    <n v="364900"/>
    <n v="76900"/>
    <x v="2"/>
    <x v="0"/>
    <n v="180"/>
  </r>
  <r>
    <s v="SALE-0170"/>
    <d v="2026-01-23T00:00:00"/>
    <s v="P016"/>
    <x v="12"/>
    <s v="Storage"/>
    <s v="Kingston"/>
    <x v="3"/>
    <x v="3"/>
    <n v="1"/>
    <n v="56600"/>
    <n v="72600"/>
    <n v="72600"/>
    <n v="16000"/>
    <x v="0"/>
    <x v="1"/>
    <n v="90"/>
  </r>
  <r>
    <s v="SALE-0171"/>
    <d v="2026-09-04T00:00:00"/>
    <s v="P007"/>
    <x v="13"/>
    <s v="Laptop"/>
    <s v="Acer"/>
    <x v="3"/>
    <x v="0"/>
    <n v="1"/>
    <n v="304000"/>
    <n v="359700"/>
    <n v="359700"/>
    <n v="55700"/>
    <x v="3"/>
    <x v="1"/>
    <n v="180"/>
  </r>
  <r>
    <s v="SALE-0172"/>
    <d v="2026-05-24T00:00:00"/>
    <s v="P010"/>
    <x v="3"/>
    <s v="Desktop"/>
    <s v="Lenovo"/>
    <x v="2"/>
    <x v="2"/>
    <n v="3"/>
    <n v="209300"/>
    <n v="267100"/>
    <n v="801300"/>
    <n v="173400"/>
    <x v="2"/>
    <x v="0"/>
    <n v="180"/>
  </r>
  <r>
    <s v="SALE-0173"/>
    <d v="2026-09-16T00:00:00"/>
    <s v="P013"/>
    <x v="5"/>
    <s v="Accessory"/>
    <s v="Logitech"/>
    <x v="0"/>
    <x v="2"/>
    <n v="1"/>
    <n v="27800"/>
    <n v="36100"/>
    <n v="36100"/>
    <n v="8300"/>
    <x v="1"/>
    <x v="0"/>
    <n v="30"/>
  </r>
  <r>
    <s v="SALE-0174"/>
    <d v="2026-06-04T00:00:00"/>
    <s v="P003"/>
    <x v="1"/>
    <s v="Laptop"/>
    <s v="Lenovo"/>
    <x v="3"/>
    <x v="0"/>
    <n v="2"/>
    <n v="281800"/>
    <n v="320100"/>
    <n v="640200"/>
    <n v="76600"/>
    <x v="0"/>
    <x v="0"/>
    <n v="180"/>
  </r>
  <r>
    <s v="SALE-0175"/>
    <d v="2026-03-31T00:00:00"/>
    <s v="P011"/>
    <x v="6"/>
    <s v="Monitor"/>
    <s v="Samsung"/>
    <x v="0"/>
    <x v="2"/>
    <n v="2"/>
    <n v="101400"/>
    <n v="119800"/>
    <n v="239600"/>
    <n v="36800"/>
    <x v="2"/>
    <x v="1"/>
    <n v="90"/>
  </r>
  <r>
    <s v="SALE-0176"/>
    <d v="2026-05-25T00:00:00"/>
    <s v="P002"/>
    <x v="15"/>
    <s v="Laptop"/>
    <s v="HP"/>
    <x v="2"/>
    <x v="0"/>
    <n v="2"/>
    <n v="281800"/>
    <n v="367000"/>
    <n v="734000"/>
    <n v="170400"/>
    <x v="2"/>
    <x v="1"/>
    <n v="180"/>
  </r>
  <r>
    <s v="SALE-0177"/>
    <d v="2026-03-19T00:00:00"/>
    <s v="P012"/>
    <x v="4"/>
    <s v="Monitor"/>
    <s v="Dell"/>
    <x v="0"/>
    <x v="0"/>
    <n v="1"/>
    <n v="93200"/>
    <n v="118400"/>
    <n v="118400"/>
    <n v="25200"/>
    <x v="3"/>
    <x v="0"/>
    <n v="90"/>
  </r>
  <r>
    <s v="SALE-0178"/>
    <d v="2026-01-21T00:00:00"/>
    <s v="P003"/>
    <x v="1"/>
    <s v="Laptop"/>
    <s v="Lenovo"/>
    <x v="1"/>
    <x v="1"/>
    <n v="-1"/>
    <n v="213000"/>
    <n v="266000"/>
    <n v="-266000"/>
    <n v="-53000"/>
    <x v="1"/>
    <x v="2"/>
    <n v="180"/>
  </r>
  <r>
    <s v="SALE-0179"/>
    <d v="2026-07-27T00:00:00"/>
    <s v="P012"/>
    <x v="4"/>
    <s v="Monitor"/>
    <s v="Dell"/>
    <x v="3"/>
    <x v="2"/>
    <n v="1"/>
    <n v="89400"/>
    <n v="101500"/>
    <n v="101500"/>
    <n v="12100"/>
    <x v="3"/>
    <x v="0"/>
    <n v="90"/>
  </r>
  <r>
    <s v="SALE-0180"/>
    <d v="2026-03-06T00:00:00"/>
    <s v="P004"/>
    <x v="0"/>
    <s v="Laptop"/>
    <s v="Dell"/>
    <x v="3"/>
    <x v="2"/>
    <n v="-1"/>
    <n v="183600"/>
    <n v="212500"/>
    <n v="-212500"/>
    <n v="-28900"/>
    <x v="2"/>
    <x v="2"/>
    <n v="180"/>
  </r>
  <r>
    <s v="SALE-0181"/>
    <d v="2026-04-17T00:00:00"/>
    <s v="P007"/>
    <x v="13"/>
    <s v="Laptop"/>
    <s v="Acer"/>
    <x v="2"/>
    <x v="3"/>
    <n v="3"/>
    <n v="319500"/>
    <n v="376100"/>
    <n v="1128300"/>
    <n v="169800"/>
    <x v="0"/>
    <x v="1"/>
    <n v="180"/>
  </r>
  <r>
    <s v="SALE-0182"/>
    <d v="2026-07-01T00:00:00"/>
    <s v="P015"/>
    <x v="7"/>
    <s v="Accessory"/>
    <s v="Generic"/>
    <x v="2"/>
    <x v="2"/>
    <n v="5"/>
    <n v="11800"/>
    <n v="14900"/>
    <n v="74500"/>
    <n v="15500"/>
    <x v="1"/>
    <x v="0"/>
    <n v="30"/>
  </r>
  <r>
    <s v="SALE-0183"/>
    <d v="2026-09-22T00:00:00"/>
    <s v="P006"/>
    <x v="14"/>
    <s v="Laptop"/>
    <s v="Lenovo"/>
    <x v="1"/>
    <x v="0"/>
    <n v="2"/>
    <n v="279700"/>
    <n v="365100"/>
    <n v="730200"/>
    <n v="170800"/>
    <x v="3"/>
    <x v="0"/>
    <n v="180"/>
  </r>
  <r>
    <s v="SALE-0184"/>
    <d v="2026-07-12T00:00:00"/>
    <s v="P005"/>
    <x v="17"/>
    <s v="Laptop"/>
    <s v="HP"/>
    <x v="0"/>
    <x v="3"/>
    <n v="-1"/>
    <n v="213100"/>
    <n v="259700"/>
    <n v="-259700"/>
    <n v="-46600"/>
    <x v="0"/>
    <x v="2"/>
    <n v="180"/>
  </r>
  <r>
    <s v="SALE-0185"/>
    <d v="2026-08-03T00:00:00"/>
    <s v="P003"/>
    <x v="1"/>
    <s v="Laptop"/>
    <s v="Lenovo"/>
    <x v="0"/>
    <x v="0"/>
    <n v="-2"/>
    <n v="223300"/>
    <n v="294700"/>
    <n v="-589400"/>
    <n v="-142800"/>
    <x v="3"/>
    <x v="2"/>
    <n v="180"/>
  </r>
  <r>
    <s v="SALE-0186"/>
    <d v="2026-03-11T00:00:00"/>
    <s v="P011"/>
    <x v="6"/>
    <s v="Monitor"/>
    <s v="Samsung"/>
    <x v="1"/>
    <x v="3"/>
    <n v="2"/>
    <n v="100300"/>
    <n v="121400"/>
    <n v="242800"/>
    <n v="42200"/>
    <x v="2"/>
    <x v="0"/>
    <n v="90"/>
  </r>
  <r>
    <s v="SALE-0187"/>
    <d v="2026-06-09T00:00:00"/>
    <s v="P017"/>
    <x v="10"/>
    <s v="Storage"/>
    <s v="Kingston"/>
    <x v="1"/>
    <x v="3"/>
    <n v="1"/>
    <n v="70500"/>
    <n v="79700"/>
    <n v="79700"/>
    <n v="9200"/>
    <x v="1"/>
    <x v="0"/>
    <n v="90"/>
  </r>
  <r>
    <s v="SALE-0188"/>
    <d v="2026-05-13T00:00:00"/>
    <s v="P008"/>
    <x v="8"/>
    <s v="Desktop"/>
    <s v="Dell"/>
    <x v="1"/>
    <x v="2"/>
    <n v="3"/>
    <n v="208100"/>
    <n v="272200"/>
    <n v="816600"/>
    <n v="192300"/>
    <x v="3"/>
    <x v="0"/>
    <n v="180"/>
  </r>
  <r>
    <s v="SALE-0189"/>
    <d v="2026-03-24T00:00:00"/>
    <s v="P010"/>
    <x v="3"/>
    <s v="Desktop"/>
    <s v="Lenovo"/>
    <x v="1"/>
    <x v="2"/>
    <n v="-2"/>
    <n v="237600"/>
    <n v="270600"/>
    <n v="-541200"/>
    <n v="-66000"/>
    <x v="0"/>
    <x v="2"/>
    <n v="180"/>
  </r>
  <r>
    <s v="SALE-0190"/>
    <d v="2026-04-22T00:00:00"/>
    <s v="P001"/>
    <x v="2"/>
    <s v="Laptop"/>
    <s v="Dell"/>
    <x v="0"/>
    <x v="0"/>
    <n v="2"/>
    <n v="191400"/>
    <n v="250700"/>
    <n v="501400"/>
    <n v="118600"/>
    <x v="2"/>
    <x v="0"/>
    <n v="180"/>
  </r>
  <r>
    <s v="SALE-0191"/>
    <d v="2026-06-06T00:00:00"/>
    <s v="P018"/>
    <x v="19"/>
    <s v="Memory"/>
    <s v="Kingston"/>
    <x v="0"/>
    <x v="0"/>
    <n v="1"/>
    <n v="28700"/>
    <n v="37600"/>
    <n v="37600"/>
    <n v="8900"/>
    <x v="0"/>
    <x v="1"/>
    <n v="90"/>
  </r>
  <r>
    <s v="SALE-0192"/>
    <d v="2026-03-19T00:00:00"/>
    <s v="P006"/>
    <x v="14"/>
    <s v="Laptop"/>
    <s v="Lenovo"/>
    <x v="3"/>
    <x v="2"/>
    <n v="-1"/>
    <n v="241500"/>
    <n v="293900"/>
    <n v="-293900"/>
    <n v="-52400"/>
    <x v="1"/>
    <x v="2"/>
    <n v="180"/>
  </r>
  <r>
    <s v="SALE-0193"/>
    <d v="2026-05-08T00:00:00"/>
    <s v="P013"/>
    <x v="5"/>
    <s v="Accessory"/>
    <s v="Logitech"/>
    <x v="0"/>
    <x v="0"/>
    <n v="2"/>
    <n v="10700"/>
    <n v="12800"/>
    <n v="25600"/>
    <n v="4200"/>
    <x v="1"/>
    <x v="0"/>
    <n v="30"/>
  </r>
  <r>
    <s v="SALE-0194"/>
    <d v="2026-08-07T00:00:00"/>
    <s v="P015"/>
    <x v="7"/>
    <s v="Accessory"/>
    <s v="Generic"/>
    <x v="1"/>
    <x v="3"/>
    <n v="1"/>
    <n v="13900"/>
    <n v="15800"/>
    <n v="15800"/>
    <n v="1900"/>
    <x v="1"/>
    <x v="1"/>
    <n v="30"/>
  </r>
  <r>
    <s v="SALE-0195"/>
    <d v="2026-09-01T00:00:00"/>
    <s v="P019"/>
    <x v="16"/>
    <s v="Memory"/>
    <s v="Kingston"/>
    <x v="0"/>
    <x v="2"/>
    <n v="-1"/>
    <n v="44700"/>
    <n v="51800"/>
    <n v="-51800"/>
    <n v="-7100"/>
    <x v="2"/>
    <x v="2"/>
    <n v="90"/>
  </r>
  <r>
    <s v="SALE-0196"/>
    <d v="2026-04-25T00:00:00"/>
    <s v="P001"/>
    <x v="2"/>
    <s v="Laptop"/>
    <s v="Dell"/>
    <x v="3"/>
    <x v="0"/>
    <n v="1"/>
    <n v="192600"/>
    <n v="230900"/>
    <n v="230900"/>
    <n v="38300"/>
    <x v="0"/>
    <x v="0"/>
    <n v="180"/>
  </r>
  <r>
    <s v="SALE-0197"/>
    <d v="2026-05-31T00:00:00"/>
    <s v="P010"/>
    <x v="3"/>
    <s v="Desktop"/>
    <s v="Lenovo"/>
    <x v="2"/>
    <x v="0"/>
    <n v="2"/>
    <n v="224400"/>
    <n v="290900"/>
    <n v="581800"/>
    <n v="133000"/>
    <x v="2"/>
    <x v="1"/>
    <n v="180"/>
  </r>
  <r>
    <s v="SALE-0198"/>
    <d v="2026-01-28T00:00:00"/>
    <s v="P005"/>
    <x v="17"/>
    <s v="Laptop"/>
    <s v="HP"/>
    <x v="0"/>
    <x v="0"/>
    <n v="2"/>
    <n v="303500"/>
    <n v="384100"/>
    <n v="768200"/>
    <n v="161200"/>
    <x v="3"/>
    <x v="0"/>
    <n v="180"/>
  </r>
  <r>
    <s v="SALE-0199"/>
    <d v="2026-05-28T00:00:00"/>
    <s v="P012"/>
    <x v="4"/>
    <s v="Monitor"/>
    <s v="Dell"/>
    <x v="2"/>
    <x v="3"/>
    <n v="-1"/>
    <n v="95400"/>
    <n v="108300"/>
    <n v="-108300"/>
    <n v="-12900"/>
    <x v="0"/>
    <x v="2"/>
    <n v="90"/>
  </r>
  <r>
    <s v="SALE-0200"/>
    <d v="2026-03-19T00:00:00"/>
    <s v="P013"/>
    <x v="5"/>
    <s v="Accessory"/>
    <s v="Logitech"/>
    <x v="1"/>
    <x v="1"/>
    <n v="2"/>
    <n v="17400"/>
    <n v="22900"/>
    <n v="45800"/>
    <n v="11000"/>
    <x v="0"/>
    <x v="0"/>
    <n v="30"/>
  </r>
  <r>
    <s v="SALE-0201"/>
    <d v="2026-08-26T00:00:00"/>
    <s v="P002"/>
    <x v="15"/>
    <s v="Laptop"/>
    <s v="HP"/>
    <x v="1"/>
    <x v="3"/>
    <n v="-3"/>
    <n v="185400"/>
    <n v="234100"/>
    <n v="-702300"/>
    <n v="-146100"/>
    <x v="1"/>
    <x v="2"/>
    <n v="180"/>
  </r>
  <r>
    <s v="SALE-0202"/>
    <d v="2026-06-26T00:00:00"/>
    <s v="P020"/>
    <x v="9"/>
    <s v="Accessory"/>
    <s v="Generic"/>
    <x v="0"/>
    <x v="2"/>
    <n v="2"/>
    <n v="15900"/>
    <n v="19100"/>
    <n v="38200"/>
    <n v="6400"/>
    <x v="2"/>
    <x v="0"/>
    <n v="30"/>
  </r>
  <r>
    <s v="SALE-0203"/>
    <d v="2026-06-11T00:00:00"/>
    <s v="P001"/>
    <x v="2"/>
    <s v="Laptop"/>
    <s v="Dell"/>
    <x v="2"/>
    <x v="1"/>
    <n v="-4"/>
    <n v="231600"/>
    <n v="290600"/>
    <n v="-1162400"/>
    <n v="-236000"/>
    <x v="1"/>
    <x v="2"/>
    <n v="180"/>
  </r>
  <r>
    <s v="SALE-0204"/>
    <d v="2026-09-30T00:00:00"/>
    <s v="P019"/>
    <x v="16"/>
    <s v="Memory"/>
    <s v="Kingston"/>
    <x v="0"/>
    <x v="3"/>
    <n v="2"/>
    <n v="39400"/>
    <n v="49800"/>
    <n v="99600"/>
    <n v="20800"/>
    <x v="3"/>
    <x v="0"/>
    <n v="90"/>
  </r>
  <r>
    <s v="SALE-0205"/>
    <d v="2026-06-14T00:00:00"/>
    <s v="P002"/>
    <x v="15"/>
    <s v="Laptop"/>
    <s v="HP"/>
    <x v="0"/>
    <x v="3"/>
    <n v="1"/>
    <n v="260200"/>
    <n v="327900"/>
    <n v="327900"/>
    <n v="67700"/>
    <x v="2"/>
    <x v="1"/>
    <n v="180"/>
  </r>
  <r>
    <s v="SALE-0206"/>
    <d v="2026-03-16T00:00:00"/>
    <s v="P007"/>
    <x v="13"/>
    <s v="Laptop"/>
    <s v="Acer"/>
    <x v="1"/>
    <x v="2"/>
    <n v="4"/>
    <n v="237500"/>
    <n v="302800"/>
    <n v="1211200"/>
    <n v="261200"/>
    <x v="2"/>
    <x v="0"/>
    <n v="180"/>
  </r>
  <r>
    <s v="SALE-0207"/>
    <d v="2026-06-29T00:00:00"/>
    <s v="P017"/>
    <x v="10"/>
    <s v="Storage"/>
    <s v="Kingston"/>
    <x v="3"/>
    <x v="2"/>
    <n v="-1"/>
    <n v="43800"/>
    <n v="57400"/>
    <n v="-57400"/>
    <n v="-13600"/>
    <x v="2"/>
    <x v="2"/>
    <n v="90"/>
  </r>
  <r>
    <s v="SALE-0208"/>
    <d v="2026-06-01T00:00:00"/>
    <s v="P007"/>
    <x v="13"/>
    <s v="Laptop"/>
    <s v="Acer"/>
    <x v="1"/>
    <x v="1"/>
    <n v="1"/>
    <n v="314000"/>
    <n v="369200"/>
    <n v="369200"/>
    <n v="55200"/>
    <x v="1"/>
    <x v="0"/>
    <n v="180"/>
  </r>
  <r>
    <s v="SALE-0209"/>
    <d v="2026-06-01T00:00:00"/>
    <s v="P016"/>
    <x v="12"/>
    <s v="Storage"/>
    <s v="Kingston"/>
    <x v="2"/>
    <x v="1"/>
    <n v="2"/>
    <n v="42400"/>
    <n v="55400"/>
    <n v="110800"/>
    <n v="26000"/>
    <x v="2"/>
    <x v="0"/>
    <n v="90"/>
  </r>
  <r>
    <s v="SALE-0210"/>
    <d v="2026-02-14T00:00:00"/>
    <s v="P012"/>
    <x v="4"/>
    <s v="Monitor"/>
    <s v="Dell"/>
    <x v="3"/>
    <x v="1"/>
    <n v="1"/>
    <n v="117500"/>
    <n v="150500"/>
    <n v="150500"/>
    <n v="33000"/>
    <x v="1"/>
    <x v="0"/>
    <n v="90"/>
  </r>
  <r>
    <s v="SALE-0211"/>
    <d v="2026-05-24T00:00:00"/>
    <s v="P016"/>
    <x v="12"/>
    <s v="Storage"/>
    <s v="Kingston"/>
    <x v="1"/>
    <x v="0"/>
    <n v="-1"/>
    <n v="35700"/>
    <n v="45900"/>
    <n v="-45900"/>
    <n v="-10200"/>
    <x v="3"/>
    <x v="2"/>
    <n v="90"/>
  </r>
  <r>
    <s v="SALE-0212"/>
    <d v="2026-01-31T00:00:00"/>
    <s v="P008"/>
    <x v="8"/>
    <s v="Desktop"/>
    <s v="Dell"/>
    <x v="2"/>
    <x v="1"/>
    <n v="1"/>
    <n v="175600"/>
    <n v="228500"/>
    <n v="228500"/>
    <n v="52900"/>
    <x v="1"/>
    <x v="0"/>
    <n v="180"/>
  </r>
  <r>
    <s v="SALE-0213"/>
    <d v="2026-03-26T00:00:00"/>
    <s v="P016"/>
    <x v="12"/>
    <s v="Storage"/>
    <s v="Kingston"/>
    <x v="0"/>
    <x v="1"/>
    <n v="-1"/>
    <n v="30000"/>
    <n v="38200"/>
    <n v="-38200"/>
    <n v="-8200"/>
    <x v="2"/>
    <x v="2"/>
    <n v="90"/>
  </r>
  <r>
    <s v="SALE-0214"/>
    <d v="2026-02-19T00:00:00"/>
    <s v="P007"/>
    <x v="13"/>
    <s v="Laptop"/>
    <s v="Acer"/>
    <x v="1"/>
    <x v="0"/>
    <n v="1"/>
    <n v="285800"/>
    <n v="336500"/>
    <n v="336500"/>
    <n v="50700"/>
    <x v="3"/>
    <x v="0"/>
    <n v="180"/>
  </r>
  <r>
    <s v="SALE-0215"/>
    <d v="2026-09-15T00:00:00"/>
    <s v="P014"/>
    <x v="18"/>
    <s v="Accessory"/>
    <s v="HP"/>
    <x v="1"/>
    <x v="2"/>
    <n v="3"/>
    <n v="31700"/>
    <n v="36600"/>
    <n v="109800"/>
    <n v="14700"/>
    <x v="0"/>
    <x v="1"/>
    <n v="30"/>
  </r>
  <r>
    <s v="SALE-0216"/>
    <d v="2026-05-30T00:00:00"/>
    <s v="P001"/>
    <x v="2"/>
    <s v="Laptop"/>
    <s v="Dell"/>
    <x v="0"/>
    <x v="1"/>
    <n v="4"/>
    <n v="221800"/>
    <n v="275200"/>
    <n v="1100800"/>
    <n v="213600"/>
    <x v="3"/>
    <x v="0"/>
    <n v="180"/>
  </r>
  <r>
    <s v="SALE-0217"/>
    <d v="2026-08-27T00:00:00"/>
    <s v="P017"/>
    <x v="10"/>
    <s v="Storage"/>
    <s v="Kingston"/>
    <x v="3"/>
    <x v="3"/>
    <n v="1"/>
    <n v="48400"/>
    <n v="56100"/>
    <n v="56100"/>
    <n v="7700"/>
    <x v="0"/>
    <x v="0"/>
    <n v="90"/>
  </r>
  <r>
    <s v="SALE-0218"/>
    <d v="2026-07-31T00:00:00"/>
    <s v="P011"/>
    <x v="6"/>
    <s v="Monitor"/>
    <s v="Samsung"/>
    <x v="0"/>
    <x v="2"/>
    <n v="2"/>
    <n v="108500"/>
    <n v="133800"/>
    <n v="267600"/>
    <n v="50600"/>
    <x v="0"/>
    <x v="0"/>
    <n v="90"/>
  </r>
  <r>
    <s v="SALE-0219"/>
    <d v="2026-05-12T00:00:00"/>
    <s v="P013"/>
    <x v="5"/>
    <s v="Accessory"/>
    <s v="Logitech"/>
    <x v="2"/>
    <x v="2"/>
    <n v="1"/>
    <n v="25700"/>
    <n v="29700"/>
    <n v="29700"/>
    <n v="4000"/>
    <x v="2"/>
    <x v="0"/>
    <n v="30"/>
  </r>
  <r>
    <s v="SALE-0220"/>
    <d v="2026-01-10T00:00:00"/>
    <s v="P008"/>
    <x v="8"/>
    <s v="Desktop"/>
    <s v="Dell"/>
    <x v="3"/>
    <x v="2"/>
    <n v="-1"/>
    <n v="219100"/>
    <n v="257100"/>
    <n v="-257100"/>
    <n v="-38000"/>
    <x v="3"/>
    <x v="2"/>
    <n v="180"/>
  </r>
  <r>
    <s v="SALE-0221"/>
    <d v="2026-06-13T00:00:00"/>
    <s v="P002"/>
    <x v="15"/>
    <s v="Laptop"/>
    <s v="HP"/>
    <x v="2"/>
    <x v="2"/>
    <n v="-1"/>
    <n v="273500"/>
    <n v="331800"/>
    <n v="-331800"/>
    <n v="-58300"/>
    <x v="1"/>
    <x v="2"/>
    <n v="180"/>
  </r>
  <r>
    <s v="SALE-0222"/>
    <d v="2026-07-15T00:00:00"/>
    <s v="P020"/>
    <x v="9"/>
    <s v="Accessory"/>
    <s v="Generic"/>
    <x v="0"/>
    <x v="1"/>
    <n v="1"/>
    <n v="13200"/>
    <n v="17300"/>
    <n v="17300"/>
    <n v="4100"/>
    <x v="3"/>
    <x v="1"/>
    <n v="30"/>
  </r>
  <r>
    <s v="SALE-0223"/>
    <d v="2026-08-21T00:00:00"/>
    <s v="P008"/>
    <x v="8"/>
    <s v="Desktop"/>
    <s v="Dell"/>
    <x v="3"/>
    <x v="0"/>
    <n v="-2"/>
    <n v="244800"/>
    <n v="303300"/>
    <n v="-606600"/>
    <n v="-117000"/>
    <x v="0"/>
    <x v="2"/>
    <n v="180"/>
  </r>
  <r>
    <s v="SALE-0224"/>
    <d v="2026-03-22T00:00:00"/>
    <s v="P002"/>
    <x v="15"/>
    <s v="Laptop"/>
    <s v="HP"/>
    <x v="1"/>
    <x v="2"/>
    <n v="-1"/>
    <n v="296000"/>
    <n v="385000"/>
    <n v="-385000"/>
    <n v="-89000"/>
    <x v="2"/>
    <x v="2"/>
    <n v="180"/>
  </r>
  <r>
    <s v="SALE-0225"/>
    <d v="2026-08-21T00:00:00"/>
    <s v="P004"/>
    <x v="0"/>
    <s v="Laptop"/>
    <s v="Dell"/>
    <x v="2"/>
    <x v="1"/>
    <n v="-1"/>
    <n v="275200"/>
    <n v="347700"/>
    <n v="-347700"/>
    <n v="-72500"/>
    <x v="3"/>
    <x v="2"/>
    <n v="180"/>
  </r>
  <r>
    <s v="SALE-0226"/>
    <d v="2026-01-16T00:00:00"/>
    <s v="P017"/>
    <x v="10"/>
    <s v="Storage"/>
    <s v="Kingston"/>
    <x v="0"/>
    <x v="2"/>
    <n v="2"/>
    <n v="45800"/>
    <n v="56500"/>
    <n v="113000"/>
    <n v="21400"/>
    <x v="0"/>
    <x v="0"/>
    <n v="90"/>
  </r>
  <r>
    <s v="SALE-0227"/>
    <d v="2026-02-04T00:00:00"/>
    <s v="P007"/>
    <x v="13"/>
    <s v="Laptop"/>
    <s v="Acer"/>
    <x v="2"/>
    <x v="1"/>
    <n v="1"/>
    <n v="261000"/>
    <n v="294700"/>
    <n v="294700"/>
    <n v="33700"/>
    <x v="0"/>
    <x v="0"/>
    <n v="180"/>
  </r>
  <r>
    <s v="SALE-0228"/>
    <d v="2026-07-15T00:00:00"/>
    <s v="P010"/>
    <x v="3"/>
    <s v="Desktop"/>
    <s v="Lenovo"/>
    <x v="0"/>
    <x v="1"/>
    <n v="2"/>
    <n v="215000"/>
    <n v="273900"/>
    <n v="547800"/>
    <n v="117800"/>
    <x v="2"/>
    <x v="1"/>
    <n v="180"/>
  </r>
  <r>
    <s v="SALE-0229"/>
    <d v="2026-07-02T00:00:00"/>
    <s v="P013"/>
    <x v="5"/>
    <s v="Accessory"/>
    <s v="Logitech"/>
    <x v="2"/>
    <x v="3"/>
    <n v="3"/>
    <n v="9200"/>
    <n v="12100"/>
    <n v="36300"/>
    <n v="8700"/>
    <x v="2"/>
    <x v="0"/>
    <n v="30"/>
  </r>
  <r>
    <s v="SALE-0230"/>
    <d v="2026-06-06T00:00:00"/>
    <s v="P017"/>
    <x v="10"/>
    <s v="Storage"/>
    <s v="Kingston"/>
    <x v="0"/>
    <x v="1"/>
    <n v="3"/>
    <n v="31400"/>
    <n v="41300"/>
    <n v="123900"/>
    <n v="29700"/>
    <x v="2"/>
    <x v="0"/>
    <n v="90"/>
  </r>
  <r>
    <s v="SALE-0231"/>
    <d v="2026-01-21T00:00:00"/>
    <s v="P008"/>
    <x v="8"/>
    <s v="Desktop"/>
    <s v="Dell"/>
    <x v="0"/>
    <x v="0"/>
    <n v="1"/>
    <n v="197200"/>
    <n v="234500"/>
    <n v="234500"/>
    <n v="37300"/>
    <x v="3"/>
    <x v="0"/>
    <n v="180"/>
  </r>
  <r>
    <s v="SALE-0232"/>
    <d v="2026-05-10T00:00:00"/>
    <s v="P007"/>
    <x v="13"/>
    <s v="Laptop"/>
    <s v="Acer"/>
    <x v="2"/>
    <x v="1"/>
    <n v="1"/>
    <n v="189400"/>
    <n v="234600"/>
    <n v="234600"/>
    <n v="45200"/>
    <x v="2"/>
    <x v="0"/>
    <n v="180"/>
  </r>
  <r>
    <s v="SALE-0233"/>
    <d v="2026-09-19T00:00:00"/>
    <s v="P008"/>
    <x v="8"/>
    <s v="Desktop"/>
    <s v="Dell"/>
    <x v="3"/>
    <x v="3"/>
    <n v="2"/>
    <n v="229400"/>
    <n v="291500"/>
    <n v="583000"/>
    <n v="124200"/>
    <x v="1"/>
    <x v="0"/>
    <n v="180"/>
  </r>
  <r>
    <s v="SALE-0234"/>
    <d v="2026-03-19T00:00:00"/>
    <s v="P019"/>
    <x v="16"/>
    <s v="Memory"/>
    <s v="Kingston"/>
    <x v="1"/>
    <x v="1"/>
    <n v="1"/>
    <n v="40100"/>
    <n v="50300"/>
    <n v="50300"/>
    <n v="10200"/>
    <x v="1"/>
    <x v="0"/>
    <n v="90"/>
  </r>
  <r>
    <s v="SALE-0235"/>
    <d v="2026-08-11T00:00:00"/>
    <s v="P009"/>
    <x v="11"/>
    <s v="Desktop"/>
    <s v="HP"/>
    <x v="0"/>
    <x v="0"/>
    <n v="3"/>
    <n v="176700"/>
    <n v="231400"/>
    <n v="694200"/>
    <n v="164100"/>
    <x v="1"/>
    <x v="0"/>
    <n v="180"/>
  </r>
  <r>
    <s v="SALE-0236"/>
    <d v="2026-06-07T00:00:00"/>
    <s v="P013"/>
    <x v="5"/>
    <s v="Accessory"/>
    <s v="Logitech"/>
    <x v="0"/>
    <x v="3"/>
    <n v="1"/>
    <n v="29000"/>
    <n v="34300"/>
    <n v="34300"/>
    <n v="5300"/>
    <x v="2"/>
    <x v="0"/>
    <n v="30"/>
  </r>
  <r>
    <s v="SALE-0237"/>
    <d v="2026-02-03T00:00:00"/>
    <s v="P008"/>
    <x v="8"/>
    <s v="Desktop"/>
    <s v="Dell"/>
    <x v="0"/>
    <x v="1"/>
    <n v="2"/>
    <n v="263400"/>
    <n v="310900"/>
    <n v="621800"/>
    <n v="95000"/>
    <x v="3"/>
    <x v="1"/>
    <n v="180"/>
  </r>
  <r>
    <s v="SALE-0238"/>
    <d v="2026-07-13T00:00:00"/>
    <s v="P013"/>
    <x v="5"/>
    <s v="Accessory"/>
    <s v="Logitech"/>
    <x v="2"/>
    <x v="3"/>
    <n v="2"/>
    <n v="13800"/>
    <n v="16000"/>
    <n v="32000"/>
    <n v="4400"/>
    <x v="0"/>
    <x v="1"/>
    <n v="30"/>
  </r>
  <r>
    <s v="SALE-0239"/>
    <d v="2026-04-11T00:00:00"/>
    <s v="P009"/>
    <x v="11"/>
    <s v="Desktop"/>
    <s v="HP"/>
    <x v="1"/>
    <x v="1"/>
    <n v="1"/>
    <n v="211500"/>
    <n v="262500"/>
    <n v="262500"/>
    <n v="51000"/>
    <x v="3"/>
    <x v="0"/>
    <n v="180"/>
  </r>
  <r>
    <s v="SALE-0240"/>
    <d v="2026-03-06T00:00:00"/>
    <s v="P011"/>
    <x v="6"/>
    <s v="Monitor"/>
    <s v="Samsung"/>
    <x v="0"/>
    <x v="3"/>
    <n v="1"/>
    <n v="81700"/>
    <n v="106400"/>
    <n v="106400"/>
    <n v="24700"/>
    <x v="3"/>
    <x v="0"/>
    <n v="90"/>
  </r>
  <r>
    <s v="SALE-0241"/>
    <d v="2026-08-31T00:00:00"/>
    <s v="P013"/>
    <x v="5"/>
    <s v="Accessory"/>
    <s v="Logitech"/>
    <x v="3"/>
    <x v="2"/>
    <n v="2"/>
    <n v="32600"/>
    <n v="40100"/>
    <n v="80200"/>
    <n v="15000"/>
    <x v="1"/>
    <x v="1"/>
    <n v="30"/>
  </r>
  <r>
    <s v="SALE-0242"/>
    <d v="2026-06-17T00:00:00"/>
    <s v="P012"/>
    <x v="4"/>
    <s v="Monitor"/>
    <s v="Dell"/>
    <x v="1"/>
    <x v="2"/>
    <n v="1"/>
    <n v="93200"/>
    <n v="113700"/>
    <n v="113700"/>
    <n v="20500"/>
    <x v="1"/>
    <x v="1"/>
    <n v="90"/>
  </r>
  <r>
    <s v="SALE-0243"/>
    <d v="2026-05-18T00:00:00"/>
    <s v="P014"/>
    <x v="18"/>
    <s v="Accessory"/>
    <s v="HP"/>
    <x v="0"/>
    <x v="2"/>
    <n v="2"/>
    <n v="8300"/>
    <n v="10700"/>
    <n v="21400"/>
    <n v="4800"/>
    <x v="3"/>
    <x v="0"/>
    <n v="30"/>
  </r>
  <r>
    <s v="SALE-0244"/>
    <d v="2026-06-26T00:00:00"/>
    <s v="P007"/>
    <x v="13"/>
    <s v="Laptop"/>
    <s v="Acer"/>
    <x v="3"/>
    <x v="1"/>
    <n v="3"/>
    <n v="226200"/>
    <n v="270500"/>
    <n v="811500"/>
    <n v="132900"/>
    <x v="2"/>
    <x v="1"/>
    <n v="180"/>
  </r>
  <r>
    <s v="SALE-0245"/>
    <d v="2026-09-12T00:00:00"/>
    <s v="P015"/>
    <x v="7"/>
    <s v="Accessory"/>
    <s v="Generic"/>
    <x v="1"/>
    <x v="0"/>
    <n v="-1"/>
    <n v="11700"/>
    <n v="15000"/>
    <n v="-15000"/>
    <n v="-3300"/>
    <x v="0"/>
    <x v="2"/>
    <n v="30"/>
  </r>
  <r>
    <s v="SALE-0246"/>
    <d v="2026-03-16T00:00:00"/>
    <s v="P003"/>
    <x v="1"/>
    <s v="Laptop"/>
    <s v="Lenovo"/>
    <x v="1"/>
    <x v="0"/>
    <n v="2"/>
    <n v="312300"/>
    <n v="391500"/>
    <n v="783000"/>
    <n v="158400"/>
    <x v="3"/>
    <x v="1"/>
    <n v="180"/>
  </r>
  <r>
    <s v="SALE-0247"/>
    <d v="2026-09-09T00:00:00"/>
    <s v="P001"/>
    <x v="2"/>
    <s v="Laptop"/>
    <s v="Dell"/>
    <x v="0"/>
    <x v="0"/>
    <n v="-1"/>
    <n v="210600"/>
    <n v="255100"/>
    <n v="-255100"/>
    <n v="-44500"/>
    <x v="0"/>
    <x v="2"/>
    <n v="180"/>
  </r>
  <r>
    <s v="SALE-0248"/>
    <d v="2026-05-31T00:00:00"/>
    <s v="P018"/>
    <x v="19"/>
    <s v="Memory"/>
    <s v="Kingston"/>
    <x v="2"/>
    <x v="1"/>
    <n v="1"/>
    <n v="38400"/>
    <n v="43100"/>
    <n v="43100"/>
    <n v="4700"/>
    <x v="3"/>
    <x v="0"/>
    <n v="90"/>
  </r>
  <r>
    <s v="SALE-0249"/>
    <d v="2026-10-01T00:00:00"/>
    <s v="P004"/>
    <x v="0"/>
    <s v="Laptop"/>
    <s v="Dell"/>
    <x v="3"/>
    <x v="2"/>
    <n v="-1"/>
    <n v="308500"/>
    <n v="377900"/>
    <n v="-377900"/>
    <n v="-69400"/>
    <x v="1"/>
    <x v="2"/>
    <n v="180"/>
  </r>
  <r>
    <s v="SALE-0250"/>
    <d v="2026-04-30T00:00:00"/>
    <s v="P013"/>
    <x v="5"/>
    <s v="Accessory"/>
    <s v="Logitech"/>
    <x v="3"/>
    <x v="0"/>
    <n v="1"/>
    <n v="9200"/>
    <n v="12100"/>
    <n v="12100"/>
    <n v="2900"/>
    <x v="0"/>
    <x v="0"/>
    <n v="30"/>
  </r>
  <r>
    <s v="SALE-0251"/>
    <d v="2026-04-02T00:00:00"/>
    <s v="P003"/>
    <x v="1"/>
    <s v="Laptop"/>
    <s v="Lenovo"/>
    <x v="2"/>
    <x v="1"/>
    <n v="1"/>
    <n v="236700"/>
    <n v="283000"/>
    <n v="283000"/>
    <n v="46300"/>
    <x v="2"/>
    <x v="0"/>
    <n v="180"/>
  </r>
  <r>
    <s v="SALE-0252"/>
    <d v="2026-01-26T00:00:00"/>
    <s v="P011"/>
    <x v="6"/>
    <s v="Monitor"/>
    <s v="Samsung"/>
    <x v="1"/>
    <x v="3"/>
    <n v="-1"/>
    <n v="96100"/>
    <n v="124100"/>
    <n v="-124100"/>
    <n v="-28000"/>
    <x v="2"/>
    <x v="2"/>
    <n v="90"/>
  </r>
  <r>
    <s v="SALE-0253"/>
    <d v="2026-01-21T00:00:00"/>
    <s v="P009"/>
    <x v="11"/>
    <s v="Desktop"/>
    <s v="HP"/>
    <x v="1"/>
    <x v="2"/>
    <n v="-4"/>
    <n v="175100"/>
    <n v="198700"/>
    <n v="-794800"/>
    <n v="-94400"/>
    <x v="0"/>
    <x v="2"/>
    <n v="180"/>
  </r>
  <r>
    <s v="SALE-0254"/>
    <d v="2026-02-13T00:00:00"/>
    <s v="P007"/>
    <x v="13"/>
    <s v="Laptop"/>
    <s v="Acer"/>
    <x v="3"/>
    <x v="3"/>
    <n v="2"/>
    <n v="262200"/>
    <n v="333100"/>
    <n v="666200"/>
    <n v="141800"/>
    <x v="3"/>
    <x v="1"/>
    <n v="180"/>
  </r>
  <r>
    <s v="SALE-0255"/>
    <d v="2026-07-20T00:00:00"/>
    <s v="P019"/>
    <x v="16"/>
    <s v="Memory"/>
    <s v="Kingston"/>
    <x v="1"/>
    <x v="0"/>
    <n v="3"/>
    <n v="48900"/>
    <n v="58600"/>
    <n v="175800"/>
    <n v="29100"/>
    <x v="1"/>
    <x v="0"/>
    <n v="90"/>
  </r>
  <r>
    <s v="SALE-0256"/>
    <d v="2026-07-27T00:00:00"/>
    <s v="P002"/>
    <x v="15"/>
    <s v="Laptop"/>
    <s v="HP"/>
    <x v="3"/>
    <x v="0"/>
    <n v="-1"/>
    <n v="193700"/>
    <n v="225900"/>
    <n v="-225900"/>
    <n v="-32200"/>
    <x v="1"/>
    <x v="2"/>
    <n v="180"/>
  </r>
  <r>
    <s v="SALE-0257"/>
    <d v="2026-04-10T00:00:00"/>
    <s v="P015"/>
    <x v="7"/>
    <s v="Accessory"/>
    <s v="Generic"/>
    <x v="0"/>
    <x v="0"/>
    <n v="4"/>
    <n v="20700"/>
    <n v="24700"/>
    <n v="98800"/>
    <n v="16000"/>
    <x v="1"/>
    <x v="1"/>
    <n v="30"/>
  </r>
  <r>
    <s v="SALE-0258"/>
    <d v="2026-07-23T00:00:00"/>
    <s v="P008"/>
    <x v="8"/>
    <s v="Desktop"/>
    <s v="Dell"/>
    <x v="3"/>
    <x v="2"/>
    <n v="1"/>
    <n v="248400"/>
    <n v="282300"/>
    <n v="282300"/>
    <n v="33900"/>
    <x v="0"/>
    <x v="0"/>
    <n v="180"/>
  </r>
  <r>
    <s v="SALE-0259"/>
    <d v="2026-02-26T00:00:00"/>
    <s v="P003"/>
    <x v="1"/>
    <s v="Laptop"/>
    <s v="Lenovo"/>
    <x v="1"/>
    <x v="0"/>
    <n v="1"/>
    <n v="180700"/>
    <n v="213500"/>
    <n v="213500"/>
    <n v="32800"/>
    <x v="3"/>
    <x v="0"/>
    <n v="180"/>
  </r>
  <r>
    <s v="SALE-0260"/>
    <d v="2026-02-19T00:00:00"/>
    <s v="P014"/>
    <x v="18"/>
    <s v="Accessory"/>
    <s v="HP"/>
    <x v="3"/>
    <x v="0"/>
    <n v="1"/>
    <n v="19600"/>
    <n v="24100"/>
    <n v="24100"/>
    <n v="4500"/>
    <x v="1"/>
    <x v="0"/>
    <n v="30"/>
  </r>
  <r>
    <s v="SALE-0261"/>
    <d v="2026-05-09T00:00:00"/>
    <s v="P013"/>
    <x v="5"/>
    <s v="Accessory"/>
    <s v="Logitech"/>
    <x v="1"/>
    <x v="1"/>
    <n v="-2"/>
    <n v="7300"/>
    <n v="8800"/>
    <n v="-17600"/>
    <n v="-3000"/>
    <x v="3"/>
    <x v="2"/>
    <n v="30"/>
  </r>
  <r>
    <s v="SALE-0262"/>
    <d v="2026-08-15T00:00:00"/>
    <s v="P005"/>
    <x v="17"/>
    <s v="Laptop"/>
    <s v="HP"/>
    <x v="3"/>
    <x v="1"/>
    <n v="1"/>
    <n v="217600"/>
    <n v="255400"/>
    <n v="255400"/>
    <n v="37800"/>
    <x v="1"/>
    <x v="0"/>
    <n v="180"/>
  </r>
  <r>
    <s v="SALE-0263"/>
    <d v="2026-04-15T00:00:00"/>
    <s v="P016"/>
    <x v="12"/>
    <s v="Storage"/>
    <s v="Kingston"/>
    <x v="0"/>
    <x v="0"/>
    <n v="4"/>
    <n v="64100"/>
    <n v="76400"/>
    <n v="305600"/>
    <n v="49200"/>
    <x v="3"/>
    <x v="1"/>
    <n v="90"/>
  </r>
  <r>
    <s v="SALE-0264"/>
    <d v="2026-06-22T00:00:00"/>
    <s v="P010"/>
    <x v="3"/>
    <s v="Desktop"/>
    <s v="Lenovo"/>
    <x v="0"/>
    <x v="2"/>
    <n v="3"/>
    <n v="170700"/>
    <n v="204700"/>
    <n v="614100"/>
    <n v="102000"/>
    <x v="2"/>
    <x v="1"/>
    <n v="180"/>
  </r>
  <r>
    <s v="SALE-0265"/>
    <d v="2026-09-07T00:00:00"/>
    <s v="P020"/>
    <x v="9"/>
    <s v="Accessory"/>
    <s v="Generic"/>
    <x v="3"/>
    <x v="3"/>
    <n v="4"/>
    <n v="10800"/>
    <n v="12800"/>
    <n v="51200"/>
    <n v="8000"/>
    <x v="2"/>
    <x v="0"/>
    <n v="30"/>
  </r>
  <r>
    <s v="SALE-0266"/>
    <d v="2026-05-09T00:00:00"/>
    <s v="P011"/>
    <x v="6"/>
    <s v="Monitor"/>
    <s v="Samsung"/>
    <x v="3"/>
    <x v="1"/>
    <n v="-1"/>
    <n v="81000"/>
    <n v="102000"/>
    <n v="-102000"/>
    <n v="-21000"/>
    <x v="1"/>
    <x v="2"/>
    <n v="90"/>
  </r>
  <r>
    <s v="SALE-0267"/>
    <d v="2026-04-07T00:00:00"/>
    <s v="P013"/>
    <x v="5"/>
    <s v="Accessory"/>
    <s v="Logitech"/>
    <x v="2"/>
    <x v="1"/>
    <n v="-1"/>
    <n v="17200"/>
    <n v="22500"/>
    <n v="-22500"/>
    <n v="-5300"/>
    <x v="3"/>
    <x v="2"/>
    <n v="30"/>
  </r>
  <r>
    <s v="SALE-0268"/>
    <d v="2026-09-17T00:00:00"/>
    <s v="P015"/>
    <x v="7"/>
    <s v="Accessory"/>
    <s v="Generic"/>
    <x v="1"/>
    <x v="2"/>
    <n v="1"/>
    <n v="29300"/>
    <n v="37700"/>
    <n v="37700"/>
    <n v="8400"/>
    <x v="3"/>
    <x v="1"/>
    <n v="30"/>
  </r>
  <r>
    <s v="SALE-0269"/>
    <d v="2026-08-22T00:00:00"/>
    <s v="P009"/>
    <x v="11"/>
    <s v="Desktop"/>
    <s v="HP"/>
    <x v="0"/>
    <x v="1"/>
    <n v="2"/>
    <n v="242500"/>
    <n v="306300"/>
    <n v="612600"/>
    <n v="127600"/>
    <x v="2"/>
    <x v="0"/>
    <n v="180"/>
  </r>
  <r>
    <s v="SALE-0270"/>
    <d v="2026-02-17T00:00:00"/>
    <s v="P018"/>
    <x v="19"/>
    <s v="Memory"/>
    <s v="Kingston"/>
    <x v="2"/>
    <x v="3"/>
    <n v="-2"/>
    <n v="19400"/>
    <n v="25500"/>
    <n v="-51000"/>
    <n v="-12200"/>
    <x v="1"/>
    <x v="2"/>
    <n v="90"/>
  </r>
  <r>
    <s v="SALE-0271"/>
    <d v="2026-06-23T00:00:00"/>
    <s v="P006"/>
    <x v="14"/>
    <s v="Laptop"/>
    <s v="Lenovo"/>
    <x v="0"/>
    <x v="0"/>
    <n v="5"/>
    <n v="270600"/>
    <n v="305500"/>
    <n v="1527500"/>
    <n v="174500"/>
    <x v="0"/>
    <x v="1"/>
    <n v="180"/>
  </r>
  <r>
    <s v="SALE-0272"/>
    <d v="2026-04-28T00:00:00"/>
    <s v="P004"/>
    <x v="0"/>
    <s v="Laptop"/>
    <s v="Dell"/>
    <x v="0"/>
    <x v="2"/>
    <n v="-1"/>
    <n v="216200"/>
    <n v="264200"/>
    <n v="-264200"/>
    <n v="-48000"/>
    <x v="2"/>
    <x v="2"/>
    <n v="180"/>
  </r>
  <r>
    <s v="SALE-0273"/>
    <d v="2026-01-17T00:00:00"/>
    <s v="P015"/>
    <x v="7"/>
    <s v="Accessory"/>
    <s v="Generic"/>
    <x v="0"/>
    <x v="0"/>
    <n v="1"/>
    <n v="28600"/>
    <n v="35400"/>
    <n v="35400"/>
    <n v="6800"/>
    <x v="1"/>
    <x v="0"/>
    <n v="30"/>
  </r>
  <r>
    <s v="SALE-0274"/>
    <d v="2026-07-02T00:00:00"/>
    <s v="P014"/>
    <x v="18"/>
    <s v="Accessory"/>
    <s v="HP"/>
    <x v="3"/>
    <x v="2"/>
    <n v="3"/>
    <n v="32800"/>
    <n v="37300"/>
    <n v="111900"/>
    <n v="13500"/>
    <x v="2"/>
    <x v="0"/>
    <n v="30"/>
  </r>
  <r>
    <s v="SALE-0275"/>
    <d v="2026-06-17T00:00:00"/>
    <s v="P007"/>
    <x v="13"/>
    <s v="Laptop"/>
    <s v="Acer"/>
    <x v="2"/>
    <x v="2"/>
    <n v="1"/>
    <n v="253000"/>
    <n v="301000"/>
    <n v="301000"/>
    <n v="48000"/>
    <x v="0"/>
    <x v="1"/>
    <n v="180"/>
  </r>
  <r>
    <s v="SALE-0276"/>
    <d v="2026-05-09T00:00:00"/>
    <s v="P004"/>
    <x v="0"/>
    <s v="Laptop"/>
    <s v="Dell"/>
    <x v="1"/>
    <x v="3"/>
    <n v="1"/>
    <n v="183200"/>
    <n v="217800"/>
    <n v="217800"/>
    <n v="34600"/>
    <x v="1"/>
    <x v="0"/>
    <n v="180"/>
  </r>
  <r>
    <s v="SALE-0277"/>
    <d v="2026-04-10T00:00:00"/>
    <s v="P018"/>
    <x v="19"/>
    <s v="Memory"/>
    <s v="Kingston"/>
    <x v="0"/>
    <x v="1"/>
    <n v="2"/>
    <n v="33800"/>
    <n v="41000"/>
    <n v="82000"/>
    <n v="14400"/>
    <x v="0"/>
    <x v="0"/>
    <n v="90"/>
  </r>
  <r>
    <s v="SALE-0278"/>
    <d v="2026-04-24T00:00:00"/>
    <s v="P020"/>
    <x v="9"/>
    <s v="Accessory"/>
    <s v="Generic"/>
    <x v="1"/>
    <x v="2"/>
    <n v="1"/>
    <n v="31700"/>
    <n v="38400"/>
    <n v="38400"/>
    <n v="6700"/>
    <x v="0"/>
    <x v="0"/>
    <n v="30"/>
  </r>
  <r>
    <s v="SALE-0279"/>
    <d v="2026-04-15T00:00:00"/>
    <s v="P019"/>
    <x v="16"/>
    <s v="Memory"/>
    <s v="Kingston"/>
    <x v="0"/>
    <x v="0"/>
    <n v="1"/>
    <n v="21800"/>
    <n v="28200"/>
    <n v="28200"/>
    <n v="6400"/>
    <x v="1"/>
    <x v="0"/>
    <n v="90"/>
  </r>
  <r>
    <s v="SALE-0280"/>
    <d v="2026-07-24T00:00:00"/>
    <s v="P016"/>
    <x v="12"/>
    <s v="Storage"/>
    <s v="Kingston"/>
    <x v="2"/>
    <x v="2"/>
    <n v="-2"/>
    <n v="51400"/>
    <n v="64100"/>
    <n v="-128200"/>
    <n v="-25400"/>
    <x v="1"/>
    <x v="2"/>
    <n v="90"/>
  </r>
  <r>
    <s v="SALE-0281"/>
    <d v="2026-02-17T00:00:00"/>
    <s v="P015"/>
    <x v="7"/>
    <s v="Accessory"/>
    <s v="Generic"/>
    <x v="1"/>
    <x v="2"/>
    <n v="2"/>
    <n v="24300"/>
    <n v="31200"/>
    <n v="62400"/>
    <n v="13800"/>
    <x v="0"/>
    <x v="0"/>
    <n v="30"/>
  </r>
  <r>
    <s v="SALE-0282"/>
    <d v="2026-07-22T00:00:00"/>
    <s v="P008"/>
    <x v="8"/>
    <s v="Desktop"/>
    <s v="Dell"/>
    <x v="0"/>
    <x v="3"/>
    <n v="-2"/>
    <n v="203600"/>
    <n v="235500"/>
    <n v="-471000"/>
    <n v="-63800"/>
    <x v="2"/>
    <x v="2"/>
    <n v="180"/>
  </r>
  <r>
    <s v="SALE-0283"/>
    <d v="2026-03-31T00:00:00"/>
    <s v="P014"/>
    <x v="18"/>
    <s v="Accessory"/>
    <s v="HP"/>
    <x v="0"/>
    <x v="2"/>
    <n v="2"/>
    <n v="12200"/>
    <n v="15200"/>
    <n v="30400"/>
    <n v="6000"/>
    <x v="3"/>
    <x v="0"/>
    <n v="30"/>
  </r>
  <r>
    <s v="SALE-0284"/>
    <d v="2026-01-09T00:00:00"/>
    <s v="P006"/>
    <x v="14"/>
    <s v="Laptop"/>
    <s v="Lenovo"/>
    <x v="0"/>
    <x v="3"/>
    <n v="1"/>
    <n v="224000"/>
    <n v="271100"/>
    <n v="271100"/>
    <n v="47100"/>
    <x v="3"/>
    <x v="0"/>
    <n v="180"/>
  </r>
  <r>
    <s v="SALE-0285"/>
    <d v="2026-08-05T00:00:00"/>
    <s v="P013"/>
    <x v="5"/>
    <s v="Accessory"/>
    <s v="Logitech"/>
    <x v="0"/>
    <x v="1"/>
    <n v="1"/>
    <n v="34000"/>
    <n v="41500"/>
    <n v="41500"/>
    <n v="7500"/>
    <x v="3"/>
    <x v="1"/>
    <n v="30"/>
  </r>
  <r>
    <s v="SALE-0286"/>
    <d v="2026-05-25T00:00:00"/>
    <s v="P003"/>
    <x v="1"/>
    <s v="Laptop"/>
    <s v="Lenovo"/>
    <x v="1"/>
    <x v="2"/>
    <n v="1"/>
    <n v="259200"/>
    <n v="331600"/>
    <n v="331600"/>
    <n v="72400"/>
    <x v="3"/>
    <x v="0"/>
    <n v="180"/>
  </r>
  <r>
    <s v="SALE-0287"/>
    <d v="2026-03-03T00:00:00"/>
    <s v="P015"/>
    <x v="7"/>
    <s v="Accessory"/>
    <s v="Generic"/>
    <x v="2"/>
    <x v="2"/>
    <n v="-1"/>
    <n v="22800"/>
    <n v="29100"/>
    <n v="-29100"/>
    <n v="-6300"/>
    <x v="1"/>
    <x v="2"/>
    <n v="30"/>
  </r>
  <r>
    <s v="SALE-0288"/>
    <d v="2026-04-26T00:00:00"/>
    <s v="P018"/>
    <x v="19"/>
    <s v="Memory"/>
    <s v="Kingston"/>
    <x v="0"/>
    <x v="0"/>
    <n v="-2"/>
    <n v="48400"/>
    <n v="54600"/>
    <n v="-109200"/>
    <n v="-12400"/>
    <x v="3"/>
    <x v="2"/>
    <n v="90"/>
  </r>
  <r>
    <s v="SALE-0289"/>
    <d v="2026-08-17T00:00:00"/>
    <s v="P010"/>
    <x v="3"/>
    <s v="Desktop"/>
    <s v="Lenovo"/>
    <x v="2"/>
    <x v="3"/>
    <n v="1"/>
    <n v="266200"/>
    <n v="299900"/>
    <n v="299900"/>
    <n v="33700"/>
    <x v="3"/>
    <x v="0"/>
    <n v="180"/>
  </r>
  <r>
    <s v="SALE-0290"/>
    <d v="2026-03-30T00:00:00"/>
    <s v="P019"/>
    <x v="16"/>
    <s v="Memory"/>
    <s v="Kingston"/>
    <x v="1"/>
    <x v="3"/>
    <n v="2"/>
    <n v="43500"/>
    <n v="56200"/>
    <n v="112400"/>
    <n v="25400"/>
    <x v="3"/>
    <x v="1"/>
    <n v="90"/>
  </r>
  <r>
    <s v="SALE-0291"/>
    <d v="2026-06-19T00:00:00"/>
    <s v="P002"/>
    <x v="15"/>
    <s v="Laptop"/>
    <s v="HP"/>
    <x v="3"/>
    <x v="2"/>
    <n v="2"/>
    <n v="259800"/>
    <n v="318600"/>
    <n v="637200"/>
    <n v="117600"/>
    <x v="1"/>
    <x v="0"/>
    <n v="180"/>
  </r>
  <r>
    <s v="SALE-0292"/>
    <d v="2026-02-04T00:00:00"/>
    <s v="P017"/>
    <x v="10"/>
    <s v="Storage"/>
    <s v="Kingston"/>
    <x v="3"/>
    <x v="3"/>
    <n v="1"/>
    <n v="74300"/>
    <n v="93300"/>
    <n v="93300"/>
    <n v="19000"/>
    <x v="3"/>
    <x v="1"/>
    <n v="90"/>
  </r>
  <r>
    <s v="SALE-0293"/>
    <d v="2026-09-12T00:00:00"/>
    <s v="P008"/>
    <x v="8"/>
    <s v="Desktop"/>
    <s v="Dell"/>
    <x v="1"/>
    <x v="2"/>
    <n v="1"/>
    <n v="186100"/>
    <n v="220400"/>
    <n v="220400"/>
    <n v="34300"/>
    <x v="2"/>
    <x v="1"/>
    <n v="180"/>
  </r>
  <r>
    <s v="SALE-0294"/>
    <d v="2026-07-30T00:00:00"/>
    <s v="P013"/>
    <x v="5"/>
    <s v="Accessory"/>
    <s v="Logitech"/>
    <x v="3"/>
    <x v="2"/>
    <n v="3"/>
    <n v="19700"/>
    <n v="24600"/>
    <n v="73800"/>
    <n v="14700"/>
    <x v="2"/>
    <x v="0"/>
    <n v="30"/>
  </r>
  <r>
    <s v="SALE-0295"/>
    <d v="2026-08-27T00:00:00"/>
    <s v="P016"/>
    <x v="12"/>
    <s v="Storage"/>
    <s v="Kingston"/>
    <x v="3"/>
    <x v="0"/>
    <n v="2"/>
    <n v="41400"/>
    <n v="46400"/>
    <n v="92800"/>
    <n v="10000"/>
    <x v="2"/>
    <x v="0"/>
    <n v="90"/>
  </r>
  <r>
    <s v="SALE-0296"/>
    <d v="2026-05-30T00:00:00"/>
    <s v="P007"/>
    <x v="13"/>
    <s v="Laptop"/>
    <s v="Acer"/>
    <x v="3"/>
    <x v="3"/>
    <n v="1"/>
    <n v="315500"/>
    <n v="405400"/>
    <n v="405400"/>
    <n v="89900"/>
    <x v="2"/>
    <x v="0"/>
    <n v="180"/>
  </r>
  <r>
    <s v="SALE-0297"/>
    <d v="2026-01-13T00:00:00"/>
    <s v="P011"/>
    <x v="6"/>
    <s v="Monitor"/>
    <s v="Samsung"/>
    <x v="2"/>
    <x v="3"/>
    <n v="1"/>
    <n v="114200"/>
    <n v="145300"/>
    <n v="145300"/>
    <n v="31100"/>
    <x v="2"/>
    <x v="1"/>
    <n v="90"/>
  </r>
  <r>
    <s v="SALE-0298"/>
    <d v="2026-06-08T00:00:00"/>
    <s v="P015"/>
    <x v="7"/>
    <s v="Accessory"/>
    <s v="Generic"/>
    <x v="1"/>
    <x v="2"/>
    <n v="1"/>
    <n v="7000"/>
    <n v="9200"/>
    <n v="9200"/>
    <n v="2200"/>
    <x v="0"/>
    <x v="0"/>
    <n v="30"/>
  </r>
  <r>
    <s v="SALE-0299"/>
    <d v="2026-01-31T00:00:00"/>
    <s v="P012"/>
    <x v="4"/>
    <s v="Monitor"/>
    <s v="Dell"/>
    <x v="0"/>
    <x v="2"/>
    <n v="3"/>
    <n v="78800"/>
    <n v="94100"/>
    <n v="282300"/>
    <n v="45900"/>
    <x v="3"/>
    <x v="0"/>
    <n v="90"/>
  </r>
  <r>
    <s v="SALE-0300"/>
    <d v="2026-02-13T00:00:00"/>
    <s v="P014"/>
    <x v="18"/>
    <s v="Accessory"/>
    <s v="HP"/>
    <x v="1"/>
    <x v="3"/>
    <n v="1"/>
    <n v="25400"/>
    <n v="32000"/>
    <n v="32000"/>
    <n v="6600"/>
    <x v="2"/>
    <x v="1"/>
    <n v="30"/>
  </r>
  <r>
    <s v="SALE-0301"/>
    <d v="2026-03-13T00:00:00"/>
    <s v="P001"/>
    <x v="2"/>
    <s v="Laptop"/>
    <s v="Dell"/>
    <x v="0"/>
    <x v="0"/>
    <n v="1"/>
    <n v="181100"/>
    <n v="215300"/>
    <n v="215300"/>
    <n v="34200"/>
    <x v="3"/>
    <x v="1"/>
    <n v="180"/>
  </r>
  <r>
    <s v="SALE-0302"/>
    <d v="2026-06-07T00:00:00"/>
    <s v="P013"/>
    <x v="5"/>
    <s v="Accessory"/>
    <s v="Logitech"/>
    <x v="1"/>
    <x v="1"/>
    <n v="1"/>
    <n v="9500"/>
    <n v="12200"/>
    <n v="12200"/>
    <n v="2700"/>
    <x v="3"/>
    <x v="0"/>
    <n v="30"/>
  </r>
  <r>
    <s v="SALE-0303"/>
    <d v="2026-08-18T00:00:00"/>
    <s v="P005"/>
    <x v="17"/>
    <s v="Laptop"/>
    <s v="HP"/>
    <x v="3"/>
    <x v="3"/>
    <n v="2"/>
    <n v="189600"/>
    <n v="233700"/>
    <n v="467400"/>
    <n v="88200"/>
    <x v="3"/>
    <x v="0"/>
    <n v="180"/>
  </r>
  <r>
    <s v="SALE-0304"/>
    <d v="2026-03-17T00:00:00"/>
    <s v="P014"/>
    <x v="18"/>
    <s v="Accessory"/>
    <s v="HP"/>
    <x v="2"/>
    <x v="1"/>
    <n v="1"/>
    <n v="24300"/>
    <n v="29400"/>
    <n v="29400"/>
    <n v="5100"/>
    <x v="1"/>
    <x v="0"/>
    <n v="30"/>
  </r>
  <r>
    <s v="SALE-0305"/>
    <d v="2026-05-12T00:00:00"/>
    <s v="P014"/>
    <x v="18"/>
    <s v="Accessory"/>
    <s v="HP"/>
    <x v="3"/>
    <x v="0"/>
    <n v="1"/>
    <n v="15800"/>
    <n v="18100"/>
    <n v="18100"/>
    <n v="2300"/>
    <x v="1"/>
    <x v="0"/>
    <n v="30"/>
  </r>
  <r>
    <s v="SALE-0306"/>
    <d v="2026-02-01T00:00:00"/>
    <s v="P007"/>
    <x v="13"/>
    <s v="Laptop"/>
    <s v="Acer"/>
    <x v="1"/>
    <x v="1"/>
    <n v="2"/>
    <n v="252500"/>
    <n v="308500"/>
    <n v="617000"/>
    <n v="112000"/>
    <x v="2"/>
    <x v="0"/>
    <n v="180"/>
  </r>
  <r>
    <s v="SALE-0307"/>
    <d v="2026-07-08T00:00:00"/>
    <s v="P004"/>
    <x v="0"/>
    <s v="Laptop"/>
    <s v="Dell"/>
    <x v="3"/>
    <x v="3"/>
    <n v="1"/>
    <n v="213800"/>
    <n v="266700"/>
    <n v="266700"/>
    <n v="52900"/>
    <x v="2"/>
    <x v="0"/>
    <n v="180"/>
  </r>
  <r>
    <s v="SALE-0308"/>
    <d v="2026-02-11T00:00:00"/>
    <s v="P019"/>
    <x v="16"/>
    <s v="Memory"/>
    <s v="Kingston"/>
    <x v="2"/>
    <x v="0"/>
    <n v="1"/>
    <n v="33600"/>
    <n v="41300"/>
    <n v="41300"/>
    <n v="7700"/>
    <x v="0"/>
    <x v="1"/>
    <n v="90"/>
  </r>
  <r>
    <s v="SALE-0309"/>
    <d v="2026-09-21T00:00:00"/>
    <s v="P009"/>
    <x v="11"/>
    <s v="Desktop"/>
    <s v="HP"/>
    <x v="3"/>
    <x v="1"/>
    <n v="4"/>
    <n v="193700"/>
    <n v="252700"/>
    <n v="1010800"/>
    <n v="236000"/>
    <x v="2"/>
    <x v="1"/>
    <n v="180"/>
  </r>
  <r>
    <s v="SALE-0310"/>
    <d v="2026-02-16T00:00:00"/>
    <s v="P013"/>
    <x v="5"/>
    <s v="Accessory"/>
    <s v="Logitech"/>
    <x v="3"/>
    <x v="0"/>
    <n v="2"/>
    <n v="9300"/>
    <n v="11400"/>
    <n v="22800"/>
    <n v="4200"/>
    <x v="3"/>
    <x v="0"/>
    <n v="30"/>
  </r>
  <r>
    <s v="SALE-0311"/>
    <d v="2026-06-12T00:00:00"/>
    <s v="P005"/>
    <x v="17"/>
    <s v="Laptop"/>
    <s v="HP"/>
    <x v="0"/>
    <x v="3"/>
    <n v="2"/>
    <n v="255100"/>
    <n v="305600"/>
    <n v="611200"/>
    <n v="101000"/>
    <x v="0"/>
    <x v="0"/>
    <n v="180"/>
  </r>
  <r>
    <s v="SALE-0312"/>
    <d v="2026-02-02T00:00:00"/>
    <s v="P008"/>
    <x v="8"/>
    <s v="Desktop"/>
    <s v="Dell"/>
    <x v="3"/>
    <x v="3"/>
    <n v="-1"/>
    <n v="179500"/>
    <n v="216600"/>
    <n v="-216600"/>
    <n v="-37100"/>
    <x v="0"/>
    <x v="2"/>
    <n v="180"/>
  </r>
  <r>
    <s v="SALE-0313"/>
    <d v="2026-09-29T00:00:00"/>
    <s v="P001"/>
    <x v="2"/>
    <s v="Laptop"/>
    <s v="Dell"/>
    <x v="3"/>
    <x v="3"/>
    <n v="1"/>
    <n v="279100"/>
    <n v="351700"/>
    <n v="351700"/>
    <n v="72600"/>
    <x v="1"/>
    <x v="0"/>
    <n v="180"/>
  </r>
  <r>
    <s v="SALE-0314"/>
    <d v="2026-01-20T00:00:00"/>
    <s v="P005"/>
    <x v="17"/>
    <s v="Laptop"/>
    <s v="HP"/>
    <x v="3"/>
    <x v="1"/>
    <n v="2"/>
    <n v="285000"/>
    <n v="369000"/>
    <n v="738000"/>
    <n v="168000"/>
    <x v="1"/>
    <x v="0"/>
    <n v="180"/>
  </r>
  <r>
    <s v="SALE-0315"/>
    <d v="2026-09-16T00:00:00"/>
    <s v="P017"/>
    <x v="10"/>
    <s v="Storage"/>
    <s v="Kingston"/>
    <x v="0"/>
    <x v="2"/>
    <n v="2"/>
    <n v="28200"/>
    <n v="35600"/>
    <n v="71200"/>
    <n v="14800"/>
    <x v="0"/>
    <x v="0"/>
    <n v="90"/>
  </r>
  <r>
    <s v="SALE-0316"/>
    <d v="2026-03-05T00:00:00"/>
    <s v="P016"/>
    <x v="12"/>
    <s v="Storage"/>
    <s v="Kingston"/>
    <x v="1"/>
    <x v="0"/>
    <n v="1"/>
    <n v="68000"/>
    <n v="78400"/>
    <n v="78400"/>
    <n v="10400"/>
    <x v="0"/>
    <x v="0"/>
    <n v="90"/>
  </r>
  <r>
    <s v="SALE-0317"/>
    <d v="2026-04-06T00:00:00"/>
    <s v="P001"/>
    <x v="2"/>
    <s v="Laptop"/>
    <s v="Dell"/>
    <x v="2"/>
    <x v="1"/>
    <n v="1"/>
    <n v="214200"/>
    <n v="260100"/>
    <n v="260100"/>
    <n v="45900"/>
    <x v="3"/>
    <x v="0"/>
    <n v="180"/>
  </r>
  <r>
    <s v="SALE-0318"/>
    <d v="2026-07-14T00:00:00"/>
    <s v="P011"/>
    <x v="6"/>
    <s v="Monitor"/>
    <s v="Samsung"/>
    <x v="2"/>
    <x v="0"/>
    <n v="1"/>
    <n v="78700"/>
    <n v="102600"/>
    <n v="102600"/>
    <n v="23900"/>
    <x v="3"/>
    <x v="0"/>
    <n v="90"/>
  </r>
  <r>
    <s v="SALE-0319"/>
    <d v="2026-08-31T00:00:00"/>
    <s v="P008"/>
    <x v="8"/>
    <s v="Desktop"/>
    <s v="Dell"/>
    <x v="3"/>
    <x v="2"/>
    <n v="4"/>
    <n v="258500"/>
    <n v="340300"/>
    <n v="1361200"/>
    <n v="327200"/>
    <x v="1"/>
    <x v="0"/>
    <n v="180"/>
  </r>
  <r>
    <s v="SALE-0320"/>
    <d v="2026-06-09T00:00:00"/>
    <s v="P003"/>
    <x v="1"/>
    <s v="Laptop"/>
    <s v="Lenovo"/>
    <x v="1"/>
    <x v="1"/>
    <n v="-1"/>
    <n v="257400"/>
    <n v="288700"/>
    <n v="-288700"/>
    <n v="-31300"/>
    <x v="1"/>
    <x v="2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7F85D-3B8E-4EA8-8579-2D984FA4642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dataField="1" numFmtId="4" showAll="0"/>
    <pivotField numFmtId="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_NGN" fld="11" baseField="0" baseItem="0" numFmtId="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F71EC-ADF0-4E2B-A573-1C809F44C70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3:B8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_NGN" fld="11" baseField="0" baseItem="0" numFmtId="4"/>
  </dataFields>
  <chartFormats count="1"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4017E-9283-41E7-A691-DDB2F9565D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dataField="1" numFmtId="4" showAll="0"/>
    <pivotField numFmtId="4"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_NGN" fld="11" baseField="0" baseItem="0" numFmtId="3"/>
  </dataFields>
  <formats count="1">
    <format dxfId="16">
      <pivotArea outline="0" collapsedLevelsAreSubtotals="1" fieldPosition="0"/>
    </format>
  </format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EA4FE-4C0A-4E65-98E0-71F94642CD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8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4" showAll="0"/>
    <pivotField numFmtId="4" showAll="0"/>
    <pivotField dataField="1" numFmtId="4" showAll="0"/>
    <pivotField numFmtId="4" showAll="0"/>
    <pivotField showAll="0">
      <items count="5">
        <item x="3"/>
        <item x="2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_NGN" fld="11" baseField="0" baseItem="0" numFmtId="4"/>
  </dataFields>
  <formats count="1">
    <format dxfId="15">
      <pivotArea outline="0" collapsedLevelsAreSubtotals="1" fieldPosition="0"/>
    </format>
  </formats>
  <chartFormats count="1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21"/>
  <sheetViews>
    <sheetView topLeftCell="C1" workbookViewId="0">
      <pane ySplit="1" topLeftCell="A69" activePane="bottomLeft" state="frozen"/>
      <selection pane="bottomLeft" activeCell="E90" sqref="E90"/>
    </sheetView>
  </sheetViews>
  <sheetFormatPr defaultRowHeight="14.5" x14ac:dyDescent="0.35"/>
  <cols>
    <col min="1" max="1" width="12" customWidth="1"/>
    <col min="2" max="2" width="13" customWidth="1"/>
    <col min="3" max="3" width="12" customWidth="1"/>
    <col min="4" max="4" width="28" customWidth="1"/>
    <col min="5" max="6" width="14" customWidth="1"/>
    <col min="7" max="7" width="20" customWidth="1"/>
    <col min="8" max="8" width="18" customWidth="1"/>
    <col min="9" max="9" width="10" customWidth="1"/>
    <col min="10" max="11" width="16" customWidth="1"/>
    <col min="12" max="12" width="18" customWidth="1"/>
    <col min="13" max="13" width="16" customWidth="1"/>
    <col min="14" max="14" width="17" customWidth="1"/>
    <col min="15" max="15" width="15" customWidth="1"/>
    <col min="16" max="16" width="14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t="s">
        <v>16</v>
      </c>
      <c r="B2" s="2">
        <v>46071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</v>
      </c>
      <c r="J2" s="3">
        <v>183500</v>
      </c>
      <c r="K2" s="3">
        <v>215600</v>
      </c>
      <c r="L2" s="3">
        <v>215600</v>
      </c>
      <c r="M2" s="3">
        <v>32100</v>
      </c>
      <c r="N2" t="s">
        <v>23</v>
      </c>
      <c r="O2" t="s">
        <v>24</v>
      </c>
      <c r="P2">
        <v>180</v>
      </c>
    </row>
    <row r="3" spans="1:16" hidden="1" x14ac:dyDescent="0.35">
      <c r="A3" t="s">
        <v>25</v>
      </c>
      <c r="B3" s="2">
        <v>46241</v>
      </c>
      <c r="C3" t="s">
        <v>26</v>
      </c>
      <c r="D3" t="s">
        <v>27</v>
      </c>
      <c r="E3" t="s">
        <v>19</v>
      </c>
      <c r="F3" t="s">
        <v>28</v>
      </c>
      <c r="G3" t="s">
        <v>29</v>
      </c>
      <c r="H3" t="s">
        <v>30</v>
      </c>
      <c r="I3">
        <v>1</v>
      </c>
      <c r="J3" s="3">
        <v>210600</v>
      </c>
      <c r="K3" s="3">
        <v>257200</v>
      </c>
      <c r="L3" s="3">
        <v>257200</v>
      </c>
      <c r="M3" s="3">
        <v>46600</v>
      </c>
      <c r="N3" t="s">
        <v>31</v>
      </c>
      <c r="O3" t="s">
        <v>24</v>
      </c>
      <c r="P3">
        <v>180</v>
      </c>
    </row>
    <row r="4" spans="1:16" x14ac:dyDescent="0.35">
      <c r="A4" t="s">
        <v>32</v>
      </c>
      <c r="B4" s="2">
        <v>46106</v>
      </c>
      <c r="C4" t="s">
        <v>33</v>
      </c>
      <c r="D4" t="s">
        <v>34</v>
      </c>
      <c r="E4" t="s">
        <v>19</v>
      </c>
      <c r="F4" t="s">
        <v>20</v>
      </c>
      <c r="G4" t="s">
        <v>29</v>
      </c>
      <c r="H4" t="s">
        <v>35</v>
      </c>
      <c r="I4">
        <v>1</v>
      </c>
      <c r="J4" s="3">
        <v>286200</v>
      </c>
      <c r="K4" s="3">
        <v>329700</v>
      </c>
      <c r="L4" s="3">
        <v>329700</v>
      </c>
      <c r="M4" s="3">
        <v>43500</v>
      </c>
      <c r="N4" t="s">
        <v>23</v>
      </c>
      <c r="O4" t="s">
        <v>24</v>
      </c>
      <c r="P4">
        <v>180</v>
      </c>
    </row>
    <row r="5" spans="1:16" hidden="1" x14ac:dyDescent="0.35">
      <c r="A5" t="s">
        <v>36</v>
      </c>
      <c r="B5" s="2">
        <v>46049</v>
      </c>
      <c r="C5" t="s">
        <v>26</v>
      </c>
      <c r="D5" t="s">
        <v>27</v>
      </c>
      <c r="E5" t="s">
        <v>19</v>
      </c>
      <c r="F5" t="s">
        <v>28</v>
      </c>
      <c r="G5" t="s">
        <v>21</v>
      </c>
      <c r="H5" t="s">
        <v>22</v>
      </c>
      <c r="I5">
        <v>1</v>
      </c>
      <c r="J5" s="3">
        <v>233200</v>
      </c>
      <c r="K5" s="3">
        <v>277900</v>
      </c>
      <c r="L5" s="3">
        <v>277900</v>
      </c>
      <c r="M5" s="3">
        <v>44700</v>
      </c>
      <c r="N5" t="s">
        <v>37</v>
      </c>
      <c r="O5" t="s">
        <v>24</v>
      </c>
      <c r="P5">
        <v>180</v>
      </c>
    </row>
    <row r="6" spans="1:16" hidden="1" x14ac:dyDescent="0.35">
      <c r="A6" t="s">
        <v>38</v>
      </c>
      <c r="B6" s="2">
        <v>46125</v>
      </c>
      <c r="C6" t="s">
        <v>26</v>
      </c>
      <c r="D6" t="s">
        <v>27</v>
      </c>
      <c r="E6" t="s">
        <v>19</v>
      </c>
      <c r="F6" t="s">
        <v>28</v>
      </c>
      <c r="G6" t="s">
        <v>39</v>
      </c>
      <c r="H6" t="s">
        <v>22</v>
      </c>
      <c r="I6">
        <v>2</v>
      </c>
      <c r="J6" s="3">
        <v>257300</v>
      </c>
      <c r="K6" s="3">
        <v>330900</v>
      </c>
      <c r="L6" s="3">
        <v>661800</v>
      </c>
      <c r="M6" s="3">
        <v>147200</v>
      </c>
      <c r="N6" t="s">
        <v>40</v>
      </c>
      <c r="O6" t="s">
        <v>24</v>
      </c>
      <c r="P6">
        <v>180</v>
      </c>
    </row>
    <row r="7" spans="1:16" x14ac:dyDescent="0.35">
      <c r="A7" t="s">
        <v>41</v>
      </c>
      <c r="B7" s="2">
        <v>46169</v>
      </c>
      <c r="C7" t="s">
        <v>42</v>
      </c>
      <c r="D7" t="s">
        <v>43</v>
      </c>
      <c r="E7" t="s">
        <v>44</v>
      </c>
      <c r="F7" t="s">
        <v>28</v>
      </c>
      <c r="G7" t="s">
        <v>21</v>
      </c>
      <c r="H7" t="s">
        <v>35</v>
      </c>
      <c r="I7">
        <v>3</v>
      </c>
      <c r="J7" s="3">
        <v>278400</v>
      </c>
      <c r="K7" s="3">
        <v>359400</v>
      </c>
      <c r="L7" s="3">
        <v>1078200</v>
      </c>
      <c r="M7" s="3">
        <v>243000</v>
      </c>
      <c r="N7" t="s">
        <v>40</v>
      </c>
      <c r="O7" t="s">
        <v>45</v>
      </c>
      <c r="P7">
        <v>180</v>
      </c>
    </row>
    <row r="8" spans="1:16" hidden="1" x14ac:dyDescent="0.35">
      <c r="A8" t="s">
        <v>46</v>
      </c>
      <c r="B8" s="2">
        <v>46114</v>
      </c>
      <c r="C8" t="s">
        <v>47</v>
      </c>
      <c r="D8" t="s">
        <v>48</v>
      </c>
      <c r="E8" t="s">
        <v>49</v>
      </c>
      <c r="F8" t="s">
        <v>20</v>
      </c>
      <c r="G8" t="s">
        <v>29</v>
      </c>
      <c r="H8" t="s">
        <v>50</v>
      </c>
      <c r="I8">
        <v>2</v>
      </c>
      <c r="J8" s="3">
        <v>84500</v>
      </c>
      <c r="K8" s="3">
        <v>106000</v>
      </c>
      <c r="L8" s="3">
        <v>212000</v>
      </c>
      <c r="M8" s="3">
        <v>43000</v>
      </c>
      <c r="N8" t="s">
        <v>37</v>
      </c>
      <c r="O8" t="s">
        <v>24</v>
      </c>
      <c r="P8">
        <v>90</v>
      </c>
    </row>
    <row r="9" spans="1:16" hidden="1" x14ac:dyDescent="0.35">
      <c r="A9" t="s">
        <v>51</v>
      </c>
      <c r="B9" s="2">
        <v>46193</v>
      </c>
      <c r="C9" t="s">
        <v>52</v>
      </c>
      <c r="D9" t="s">
        <v>53</v>
      </c>
      <c r="E9" t="s">
        <v>54</v>
      </c>
      <c r="F9" t="s">
        <v>55</v>
      </c>
      <c r="G9" t="s">
        <v>39</v>
      </c>
      <c r="H9" t="s">
        <v>50</v>
      </c>
      <c r="I9">
        <v>2</v>
      </c>
      <c r="J9" s="3">
        <v>14600</v>
      </c>
      <c r="K9" s="3">
        <v>19100</v>
      </c>
      <c r="L9" s="3">
        <v>38200</v>
      </c>
      <c r="M9" s="3">
        <v>9000</v>
      </c>
      <c r="N9" t="s">
        <v>23</v>
      </c>
      <c r="O9" t="s">
        <v>24</v>
      </c>
      <c r="P9">
        <v>30</v>
      </c>
    </row>
    <row r="10" spans="1:16" hidden="1" x14ac:dyDescent="0.35">
      <c r="A10" t="s">
        <v>56</v>
      </c>
      <c r="B10" s="2">
        <v>46188</v>
      </c>
      <c r="C10" t="s">
        <v>57</v>
      </c>
      <c r="D10" t="s">
        <v>58</v>
      </c>
      <c r="E10" t="s">
        <v>49</v>
      </c>
      <c r="F10" t="s">
        <v>59</v>
      </c>
      <c r="G10" t="s">
        <v>29</v>
      </c>
      <c r="H10" t="s">
        <v>30</v>
      </c>
      <c r="I10">
        <v>-3</v>
      </c>
      <c r="J10" s="3">
        <v>87100</v>
      </c>
      <c r="K10" s="3">
        <v>98700</v>
      </c>
      <c r="L10" s="3">
        <v>-296100</v>
      </c>
      <c r="M10" s="3">
        <v>-34800</v>
      </c>
      <c r="N10" t="s">
        <v>37</v>
      </c>
      <c r="O10" t="s">
        <v>60</v>
      </c>
      <c r="P10">
        <v>90</v>
      </c>
    </row>
    <row r="11" spans="1:16" hidden="1" x14ac:dyDescent="0.35">
      <c r="A11" t="s">
        <v>61</v>
      </c>
      <c r="B11" s="2">
        <v>46161</v>
      </c>
      <c r="C11" t="s">
        <v>62</v>
      </c>
      <c r="D11" t="s">
        <v>63</v>
      </c>
      <c r="E11" t="s">
        <v>54</v>
      </c>
      <c r="F11" t="s">
        <v>64</v>
      </c>
      <c r="G11" t="s">
        <v>21</v>
      </c>
      <c r="H11" t="s">
        <v>30</v>
      </c>
      <c r="I11">
        <v>-2</v>
      </c>
      <c r="J11" s="3">
        <v>11000</v>
      </c>
      <c r="K11" s="3">
        <v>12600</v>
      </c>
      <c r="L11" s="3">
        <v>-25200</v>
      </c>
      <c r="M11" s="3">
        <v>-3200</v>
      </c>
      <c r="N11" t="s">
        <v>31</v>
      </c>
      <c r="O11" t="s">
        <v>60</v>
      </c>
      <c r="P11">
        <v>30</v>
      </c>
    </row>
    <row r="12" spans="1:16" hidden="1" x14ac:dyDescent="0.35">
      <c r="A12" t="s">
        <v>65</v>
      </c>
      <c r="B12" s="2">
        <v>46083</v>
      </c>
      <c r="C12" t="s">
        <v>66</v>
      </c>
      <c r="D12" t="s">
        <v>67</v>
      </c>
      <c r="E12" t="s">
        <v>44</v>
      </c>
      <c r="F12" t="s">
        <v>20</v>
      </c>
      <c r="G12" t="s">
        <v>29</v>
      </c>
      <c r="H12" t="s">
        <v>50</v>
      </c>
      <c r="I12">
        <v>1</v>
      </c>
      <c r="J12" s="3">
        <v>279700</v>
      </c>
      <c r="K12" s="3">
        <v>321000</v>
      </c>
      <c r="L12" s="3">
        <v>321000</v>
      </c>
      <c r="M12" s="3">
        <v>41300</v>
      </c>
      <c r="N12" t="s">
        <v>37</v>
      </c>
      <c r="O12" t="s">
        <v>24</v>
      </c>
      <c r="P12">
        <v>180</v>
      </c>
    </row>
    <row r="13" spans="1:16" hidden="1" x14ac:dyDescent="0.35">
      <c r="A13" t="s">
        <v>68</v>
      </c>
      <c r="B13" s="2">
        <v>46155</v>
      </c>
      <c r="C13" t="s">
        <v>69</v>
      </c>
      <c r="D13" t="s">
        <v>70</v>
      </c>
      <c r="E13" t="s">
        <v>54</v>
      </c>
      <c r="F13" t="s">
        <v>64</v>
      </c>
      <c r="G13" t="s">
        <v>39</v>
      </c>
      <c r="H13" t="s">
        <v>22</v>
      </c>
      <c r="I13">
        <v>-5</v>
      </c>
      <c r="J13" s="3">
        <v>8800</v>
      </c>
      <c r="K13" s="3">
        <v>10500</v>
      </c>
      <c r="L13" s="3">
        <v>-52500</v>
      </c>
      <c r="M13" s="3">
        <v>-8500</v>
      </c>
      <c r="N13" t="s">
        <v>31</v>
      </c>
      <c r="O13" t="s">
        <v>60</v>
      </c>
      <c r="P13">
        <v>30</v>
      </c>
    </row>
    <row r="14" spans="1:16" hidden="1" x14ac:dyDescent="0.35">
      <c r="A14" t="s">
        <v>71</v>
      </c>
      <c r="B14" s="2">
        <v>46283</v>
      </c>
      <c r="C14" t="s">
        <v>57</v>
      </c>
      <c r="D14" t="s">
        <v>58</v>
      </c>
      <c r="E14" t="s">
        <v>49</v>
      </c>
      <c r="F14" t="s">
        <v>59</v>
      </c>
      <c r="G14" t="s">
        <v>29</v>
      </c>
      <c r="H14" t="s">
        <v>22</v>
      </c>
      <c r="I14">
        <v>1</v>
      </c>
      <c r="J14" s="3">
        <v>71100</v>
      </c>
      <c r="K14" s="3">
        <v>85800</v>
      </c>
      <c r="L14" s="3">
        <v>85800</v>
      </c>
      <c r="M14" s="3">
        <v>14700</v>
      </c>
      <c r="N14" t="s">
        <v>31</v>
      </c>
      <c r="O14" t="s">
        <v>24</v>
      </c>
      <c r="P14">
        <v>90</v>
      </c>
    </row>
    <row r="15" spans="1:16" hidden="1" x14ac:dyDescent="0.35">
      <c r="A15" t="s">
        <v>72</v>
      </c>
      <c r="B15" s="2">
        <v>46027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30</v>
      </c>
      <c r="I15">
        <v>-2</v>
      </c>
      <c r="J15" s="3">
        <v>55400</v>
      </c>
      <c r="K15" s="3">
        <v>63700</v>
      </c>
      <c r="L15" s="3">
        <v>-127400</v>
      </c>
      <c r="M15" s="3">
        <v>-16600</v>
      </c>
      <c r="N15" t="s">
        <v>23</v>
      </c>
      <c r="O15" t="s">
        <v>60</v>
      </c>
      <c r="P15">
        <v>90</v>
      </c>
    </row>
    <row r="16" spans="1:16" hidden="1" x14ac:dyDescent="0.35">
      <c r="A16" t="s">
        <v>78</v>
      </c>
      <c r="B16" s="2">
        <v>46149</v>
      </c>
      <c r="C16" t="s">
        <v>17</v>
      </c>
      <c r="D16" t="s">
        <v>18</v>
      </c>
      <c r="E16" t="s">
        <v>19</v>
      </c>
      <c r="F16" t="s">
        <v>20</v>
      </c>
      <c r="G16" t="s">
        <v>39</v>
      </c>
      <c r="H16" t="s">
        <v>50</v>
      </c>
      <c r="I16">
        <v>3</v>
      </c>
      <c r="J16" s="3">
        <v>310100</v>
      </c>
      <c r="K16" s="3">
        <v>401800</v>
      </c>
      <c r="L16" s="3">
        <v>1205400</v>
      </c>
      <c r="M16" s="3">
        <v>275100</v>
      </c>
      <c r="N16" t="s">
        <v>23</v>
      </c>
      <c r="O16" t="s">
        <v>24</v>
      </c>
      <c r="P16">
        <v>180</v>
      </c>
    </row>
    <row r="17" spans="1:16" hidden="1" x14ac:dyDescent="0.35">
      <c r="A17" t="s">
        <v>79</v>
      </c>
      <c r="B17" s="2">
        <v>46091</v>
      </c>
      <c r="C17" t="s">
        <v>26</v>
      </c>
      <c r="D17" t="s">
        <v>27</v>
      </c>
      <c r="E17" t="s">
        <v>19</v>
      </c>
      <c r="F17" t="s">
        <v>28</v>
      </c>
      <c r="G17" t="s">
        <v>29</v>
      </c>
      <c r="H17" t="s">
        <v>30</v>
      </c>
      <c r="I17">
        <v>-4</v>
      </c>
      <c r="J17" s="3">
        <v>282500</v>
      </c>
      <c r="K17" s="3">
        <v>362500</v>
      </c>
      <c r="L17" s="3">
        <v>-1450000</v>
      </c>
      <c r="M17" s="3">
        <v>-320000</v>
      </c>
      <c r="N17" t="s">
        <v>40</v>
      </c>
      <c r="O17" t="s">
        <v>60</v>
      </c>
      <c r="P17">
        <v>180</v>
      </c>
    </row>
    <row r="18" spans="1:16" hidden="1" x14ac:dyDescent="0.35">
      <c r="A18" t="s">
        <v>80</v>
      </c>
      <c r="B18" s="2">
        <v>46129</v>
      </c>
      <c r="C18" t="s">
        <v>81</v>
      </c>
      <c r="D18" t="s">
        <v>82</v>
      </c>
      <c r="E18" t="s">
        <v>44</v>
      </c>
      <c r="F18" t="s">
        <v>83</v>
      </c>
      <c r="G18" t="s">
        <v>77</v>
      </c>
      <c r="H18" t="s">
        <v>30</v>
      </c>
      <c r="I18">
        <v>-4</v>
      </c>
      <c r="J18" s="3">
        <v>228000</v>
      </c>
      <c r="K18" s="3">
        <v>283000</v>
      </c>
      <c r="L18" s="3">
        <v>-1132000</v>
      </c>
      <c r="M18" s="3">
        <v>-220000</v>
      </c>
      <c r="N18" t="s">
        <v>31</v>
      </c>
      <c r="O18" t="s">
        <v>60</v>
      </c>
      <c r="P18">
        <v>180</v>
      </c>
    </row>
    <row r="19" spans="1:16" hidden="1" x14ac:dyDescent="0.35">
      <c r="A19" t="s">
        <v>84</v>
      </c>
      <c r="B19" s="2">
        <v>46200</v>
      </c>
      <c r="C19" t="s">
        <v>62</v>
      </c>
      <c r="D19" t="s">
        <v>63</v>
      </c>
      <c r="E19" t="s">
        <v>54</v>
      </c>
      <c r="F19" t="s">
        <v>64</v>
      </c>
      <c r="G19" t="s">
        <v>39</v>
      </c>
      <c r="H19" t="s">
        <v>50</v>
      </c>
      <c r="I19">
        <v>1</v>
      </c>
      <c r="J19" s="3">
        <v>32200</v>
      </c>
      <c r="K19" s="3">
        <v>39000</v>
      </c>
      <c r="L19" s="3">
        <v>39000</v>
      </c>
      <c r="M19" s="3">
        <v>6800</v>
      </c>
      <c r="N19" t="s">
        <v>40</v>
      </c>
      <c r="O19" t="s">
        <v>24</v>
      </c>
      <c r="P19">
        <v>30</v>
      </c>
    </row>
    <row r="20" spans="1:16" hidden="1" x14ac:dyDescent="0.35">
      <c r="A20" t="s">
        <v>85</v>
      </c>
      <c r="B20" s="2">
        <v>46196</v>
      </c>
      <c r="C20" t="s">
        <v>33</v>
      </c>
      <c r="D20" t="s">
        <v>34</v>
      </c>
      <c r="E20" t="s">
        <v>19</v>
      </c>
      <c r="F20" t="s">
        <v>20</v>
      </c>
      <c r="G20" t="s">
        <v>39</v>
      </c>
      <c r="H20" t="s">
        <v>50</v>
      </c>
      <c r="I20">
        <v>1</v>
      </c>
      <c r="J20" s="3">
        <v>189900</v>
      </c>
      <c r="K20" s="3">
        <v>236700</v>
      </c>
      <c r="L20" s="3">
        <v>236700</v>
      </c>
      <c r="M20" s="3">
        <v>46800</v>
      </c>
      <c r="N20" t="s">
        <v>31</v>
      </c>
      <c r="O20" t="s">
        <v>24</v>
      </c>
      <c r="P20">
        <v>180</v>
      </c>
    </row>
    <row r="21" spans="1:16" hidden="1" x14ac:dyDescent="0.35">
      <c r="A21" t="s">
        <v>86</v>
      </c>
      <c r="B21" s="2">
        <v>46269</v>
      </c>
      <c r="C21" t="s">
        <v>87</v>
      </c>
      <c r="D21" t="s">
        <v>88</v>
      </c>
      <c r="E21" t="s">
        <v>75</v>
      </c>
      <c r="F21" t="s">
        <v>76</v>
      </c>
      <c r="G21" t="s">
        <v>29</v>
      </c>
      <c r="H21" t="s">
        <v>30</v>
      </c>
      <c r="I21">
        <v>-4</v>
      </c>
      <c r="J21" s="3">
        <v>35700</v>
      </c>
      <c r="K21" s="3">
        <v>40900</v>
      </c>
      <c r="L21" s="3">
        <v>-163600</v>
      </c>
      <c r="M21" s="3">
        <v>-20800</v>
      </c>
      <c r="N21" t="s">
        <v>37</v>
      </c>
      <c r="O21" t="s">
        <v>60</v>
      </c>
      <c r="P21">
        <v>90</v>
      </c>
    </row>
    <row r="22" spans="1:16" hidden="1" x14ac:dyDescent="0.35">
      <c r="A22" t="s">
        <v>89</v>
      </c>
      <c r="B22" s="2">
        <v>46266</v>
      </c>
      <c r="C22" t="s">
        <v>90</v>
      </c>
      <c r="D22" t="s">
        <v>91</v>
      </c>
      <c r="E22" t="s">
        <v>19</v>
      </c>
      <c r="F22" t="s">
        <v>92</v>
      </c>
      <c r="G22" t="s">
        <v>39</v>
      </c>
      <c r="H22" t="s">
        <v>22</v>
      </c>
      <c r="I22">
        <v>1</v>
      </c>
      <c r="J22" s="3">
        <v>193200</v>
      </c>
      <c r="K22" s="3">
        <v>241800</v>
      </c>
      <c r="L22" s="3">
        <v>241800</v>
      </c>
      <c r="M22" s="3">
        <v>48600</v>
      </c>
      <c r="N22" t="s">
        <v>23</v>
      </c>
      <c r="O22" t="s">
        <v>45</v>
      </c>
      <c r="P22">
        <v>180</v>
      </c>
    </row>
    <row r="23" spans="1:16" hidden="1" x14ac:dyDescent="0.35">
      <c r="A23" t="s">
        <v>93</v>
      </c>
      <c r="B23" s="2">
        <v>46124</v>
      </c>
      <c r="C23" t="s">
        <v>52</v>
      </c>
      <c r="D23" t="s">
        <v>53</v>
      </c>
      <c r="E23" t="s">
        <v>54</v>
      </c>
      <c r="F23" t="s">
        <v>55</v>
      </c>
      <c r="G23" t="s">
        <v>21</v>
      </c>
      <c r="H23" t="s">
        <v>50</v>
      </c>
      <c r="I23">
        <v>1</v>
      </c>
      <c r="J23" s="3">
        <v>27400</v>
      </c>
      <c r="K23" s="3">
        <v>35100</v>
      </c>
      <c r="L23" s="3">
        <v>35100</v>
      </c>
      <c r="M23" s="3">
        <v>7700</v>
      </c>
      <c r="N23" t="s">
        <v>37</v>
      </c>
      <c r="O23" t="s">
        <v>24</v>
      </c>
      <c r="P23">
        <v>30</v>
      </c>
    </row>
    <row r="24" spans="1:16" hidden="1" x14ac:dyDescent="0.35">
      <c r="A24" t="s">
        <v>94</v>
      </c>
      <c r="B24" s="2">
        <v>46077</v>
      </c>
      <c r="C24" t="s">
        <v>95</v>
      </c>
      <c r="D24" t="s">
        <v>96</v>
      </c>
      <c r="E24" t="s">
        <v>19</v>
      </c>
      <c r="F24" t="s">
        <v>28</v>
      </c>
      <c r="G24" t="s">
        <v>39</v>
      </c>
      <c r="H24" t="s">
        <v>22</v>
      </c>
      <c r="I24">
        <v>4</v>
      </c>
      <c r="J24" s="3">
        <v>219000</v>
      </c>
      <c r="K24" s="3">
        <v>256200</v>
      </c>
      <c r="L24" s="3">
        <v>1024800</v>
      </c>
      <c r="M24" s="3">
        <v>148800</v>
      </c>
      <c r="N24" t="s">
        <v>23</v>
      </c>
      <c r="O24" t="s">
        <v>45</v>
      </c>
      <c r="P24">
        <v>180</v>
      </c>
    </row>
    <row r="25" spans="1:16" hidden="1" x14ac:dyDescent="0.35">
      <c r="A25" t="s">
        <v>97</v>
      </c>
      <c r="B25" s="2">
        <v>46057</v>
      </c>
      <c r="C25" t="s">
        <v>66</v>
      </c>
      <c r="D25" t="s">
        <v>67</v>
      </c>
      <c r="E25" t="s">
        <v>44</v>
      </c>
      <c r="F25" t="s">
        <v>20</v>
      </c>
      <c r="G25" t="s">
        <v>29</v>
      </c>
      <c r="H25" t="s">
        <v>30</v>
      </c>
      <c r="I25">
        <v>1</v>
      </c>
      <c r="J25" s="3">
        <v>188300</v>
      </c>
      <c r="K25" s="3">
        <v>229200</v>
      </c>
      <c r="L25" s="3">
        <v>229200</v>
      </c>
      <c r="M25" s="3">
        <v>40900</v>
      </c>
      <c r="N25" t="s">
        <v>23</v>
      </c>
      <c r="O25" t="s">
        <v>45</v>
      </c>
      <c r="P25">
        <v>180</v>
      </c>
    </row>
    <row r="26" spans="1:16" hidden="1" x14ac:dyDescent="0.35">
      <c r="A26" t="s">
        <v>98</v>
      </c>
      <c r="B26" s="2">
        <v>46276</v>
      </c>
      <c r="C26" t="s">
        <v>52</v>
      </c>
      <c r="D26" t="s">
        <v>53</v>
      </c>
      <c r="E26" t="s">
        <v>54</v>
      </c>
      <c r="F26" t="s">
        <v>55</v>
      </c>
      <c r="G26" t="s">
        <v>29</v>
      </c>
      <c r="H26" t="s">
        <v>50</v>
      </c>
      <c r="I26">
        <v>1</v>
      </c>
      <c r="J26" s="3">
        <v>14400</v>
      </c>
      <c r="K26" s="3">
        <v>18400</v>
      </c>
      <c r="L26" s="3">
        <v>18400</v>
      </c>
      <c r="M26" s="3">
        <v>4000</v>
      </c>
      <c r="N26" t="s">
        <v>31</v>
      </c>
      <c r="O26" t="s">
        <v>45</v>
      </c>
      <c r="P26">
        <v>30</v>
      </c>
    </row>
    <row r="27" spans="1:16" hidden="1" x14ac:dyDescent="0.35">
      <c r="A27" t="s">
        <v>99</v>
      </c>
      <c r="B27" s="2">
        <v>46056</v>
      </c>
      <c r="C27" t="s">
        <v>90</v>
      </c>
      <c r="D27" t="s">
        <v>91</v>
      </c>
      <c r="E27" t="s">
        <v>19</v>
      </c>
      <c r="F27" t="s">
        <v>92</v>
      </c>
      <c r="G27" t="s">
        <v>39</v>
      </c>
      <c r="H27" t="s">
        <v>30</v>
      </c>
      <c r="I27">
        <v>1</v>
      </c>
      <c r="J27" s="3">
        <v>315600</v>
      </c>
      <c r="K27" s="3">
        <v>390000</v>
      </c>
      <c r="L27" s="3">
        <v>390000</v>
      </c>
      <c r="M27" s="3">
        <v>74400</v>
      </c>
      <c r="N27" t="s">
        <v>40</v>
      </c>
      <c r="O27" t="s">
        <v>24</v>
      </c>
      <c r="P27">
        <v>180</v>
      </c>
    </row>
    <row r="28" spans="1:16" hidden="1" x14ac:dyDescent="0.35">
      <c r="A28" t="s">
        <v>100</v>
      </c>
      <c r="B28" s="2">
        <v>46061</v>
      </c>
      <c r="C28" t="s">
        <v>101</v>
      </c>
      <c r="D28" t="s">
        <v>102</v>
      </c>
      <c r="E28" t="s">
        <v>19</v>
      </c>
      <c r="F28" t="s">
        <v>83</v>
      </c>
      <c r="G28" t="s">
        <v>29</v>
      </c>
      <c r="H28" t="s">
        <v>30</v>
      </c>
      <c r="I28">
        <v>-1</v>
      </c>
      <c r="J28" s="3">
        <v>314500</v>
      </c>
      <c r="K28" s="3">
        <v>357300</v>
      </c>
      <c r="L28" s="3">
        <v>-357300</v>
      </c>
      <c r="M28" s="3">
        <v>-42800</v>
      </c>
      <c r="N28" t="s">
        <v>23</v>
      </c>
      <c r="O28" t="s">
        <v>60</v>
      </c>
      <c r="P28">
        <v>180</v>
      </c>
    </row>
    <row r="29" spans="1:16" x14ac:dyDescent="0.35">
      <c r="A29" t="s">
        <v>103</v>
      </c>
      <c r="B29" s="2">
        <v>46294</v>
      </c>
      <c r="C29" t="s">
        <v>104</v>
      </c>
      <c r="D29" t="s">
        <v>105</v>
      </c>
      <c r="E29" t="s">
        <v>106</v>
      </c>
      <c r="F29" t="s">
        <v>76</v>
      </c>
      <c r="G29" t="s">
        <v>77</v>
      </c>
      <c r="H29" t="s">
        <v>35</v>
      </c>
      <c r="I29">
        <v>2</v>
      </c>
      <c r="J29" s="3">
        <v>27100</v>
      </c>
      <c r="K29" s="3">
        <v>33600</v>
      </c>
      <c r="L29" s="3">
        <v>67200</v>
      </c>
      <c r="M29" s="3">
        <v>13000</v>
      </c>
      <c r="N29" t="s">
        <v>40</v>
      </c>
      <c r="O29" t="s">
        <v>45</v>
      </c>
      <c r="P29">
        <v>90</v>
      </c>
    </row>
    <row r="30" spans="1:16" hidden="1" x14ac:dyDescent="0.35">
      <c r="A30" t="s">
        <v>107</v>
      </c>
      <c r="B30" s="2">
        <v>46261</v>
      </c>
      <c r="C30" t="s">
        <v>57</v>
      </c>
      <c r="D30" t="s">
        <v>58</v>
      </c>
      <c r="E30" t="s">
        <v>49</v>
      </c>
      <c r="F30" t="s">
        <v>59</v>
      </c>
      <c r="G30" t="s">
        <v>77</v>
      </c>
      <c r="H30" t="s">
        <v>22</v>
      </c>
      <c r="I30">
        <v>2</v>
      </c>
      <c r="J30" s="3">
        <v>78100</v>
      </c>
      <c r="K30" s="3">
        <v>93700</v>
      </c>
      <c r="L30" s="3">
        <v>187400</v>
      </c>
      <c r="M30" s="3">
        <v>31200</v>
      </c>
      <c r="N30" t="s">
        <v>23</v>
      </c>
      <c r="O30" t="s">
        <v>24</v>
      </c>
      <c r="P30">
        <v>90</v>
      </c>
    </row>
    <row r="31" spans="1:16" hidden="1" x14ac:dyDescent="0.35">
      <c r="A31" t="s">
        <v>108</v>
      </c>
      <c r="B31" s="2">
        <v>46136</v>
      </c>
      <c r="C31" t="s">
        <v>62</v>
      </c>
      <c r="D31" t="s">
        <v>63</v>
      </c>
      <c r="E31" t="s">
        <v>54</v>
      </c>
      <c r="F31" t="s">
        <v>64</v>
      </c>
      <c r="G31" t="s">
        <v>77</v>
      </c>
      <c r="H31" t="s">
        <v>50</v>
      </c>
      <c r="I31">
        <v>-1</v>
      </c>
      <c r="J31" s="3">
        <v>24400</v>
      </c>
      <c r="K31" s="3">
        <v>30100</v>
      </c>
      <c r="L31" s="3">
        <v>-30100</v>
      </c>
      <c r="M31" s="3">
        <v>-5700</v>
      </c>
      <c r="N31" t="s">
        <v>31</v>
      </c>
      <c r="O31" t="s">
        <v>60</v>
      </c>
      <c r="P31">
        <v>30</v>
      </c>
    </row>
    <row r="32" spans="1:16" x14ac:dyDescent="0.35">
      <c r="A32" t="s">
        <v>109</v>
      </c>
      <c r="B32" s="2">
        <v>46181</v>
      </c>
      <c r="C32" t="s">
        <v>26</v>
      </c>
      <c r="D32" t="s">
        <v>27</v>
      </c>
      <c r="E32" t="s">
        <v>19</v>
      </c>
      <c r="F32" t="s">
        <v>28</v>
      </c>
      <c r="G32" t="s">
        <v>39</v>
      </c>
      <c r="H32" t="s">
        <v>35</v>
      </c>
      <c r="I32">
        <v>-1</v>
      </c>
      <c r="J32" s="3">
        <v>303100</v>
      </c>
      <c r="K32" s="3">
        <v>361900</v>
      </c>
      <c r="L32" s="3">
        <v>-361900</v>
      </c>
      <c r="M32" s="3">
        <v>-58800</v>
      </c>
      <c r="N32" t="s">
        <v>23</v>
      </c>
      <c r="O32" t="s">
        <v>60</v>
      </c>
      <c r="P32">
        <v>180</v>
      </c>
    </row>
    <row r="33" spans="1:16" hidden="1" x14ac:dyDescent="0.35">
      <c r="A33" t="s">
        <v>110</v>
      </c>
      <c r="B33" s="2">
        <v>46166</v>
      </c>
      <c r="C33" t="s">
        <v>111</v>
      </c>
      <c r="D33" t="s">
        <v>112</v>
      </c>
      <c r="E33" t="s">
        <v>19</v>
      </c>
      <c r="F33" t="s">
        <v>83</v>
      </c>
      <c r="G33" t="s">
        <v>77</v>
      </c>
      <c r="H33" t="s">
        <v>50</v>
      </c>
      <c r="I33">
        <v>2</v>
      </c>
      <c r="J33" s="3">
        <v>217000</v>
      </c>
      <c r="K33" s="3">
        <v>281700</v>
      </c>
      <c r="L33" s="3">
        <v>563400</v>
      </c>
      <c r="M33" s="3">
        <v>129400</v>
      </c>
      <c r="N33" t="s">
        <v>31</v>
      </c>
      <c r="O33" t="s">
        <v>24</v>
      </c>
      <c r="P33">
        <v>180</v>
      </c>
    </row>
    <row r="34" spans="1:16" hidden="1" x14ac:dyDescent="0.35">
      <c r="A34" t="s">
        <v>113</v>
      </c>
      <c r="B34" s="2">
        <v>46053</v>
      </c>
      <c r="C34" t="s">
        <v>90</v>
      </c>
      <c r="D34" t="s">
        <v>91</v>
      </c>
      <c r="E34" t="s">
        <v>19</v>
      </c>
      <c r="F34" t="s">
        <v>92</v>
      </c>
      <c r="G34" t="s">
        <v>39</v>
      </c>
      <c r="H34" t="s">
        <v>30</v>
      </c>
      <c r="I34">
        <v>1</v>
      </c>
      <c r="J34" s="3">
        <v>276200</v>
      </c>
      <c r="K34" s="3">
        <v>356500</v>
      </c>
      <c r="L34" s="3">
        <v>356500</v>
      </c>
      <c r="M34" s="3">
        <v>80300</v>
      </c>
      <c r="N34" t="s">
        <v>31</v>
      </c>
      <c r="O34" t="s">
        <v>24</v>
      </c>
      <c r="P34">
        <v>180</v>
      </c>
    </row>
    <row r="35" spans="1:16" hidden="1" x14ac:dyDescent="0.35">
      <c r="A35" t="s">
        <v>114</v>
      </c>
      <c r="B35" s="2">
        <v>46109</v>
      </c>
      <c r="C35" t="s">
        <v>101</v>
      </c>
      <c r="D35" t="s">
        <v>102</v>
      </c>
      <c r="E35" t="s">
        <v>19</v>
      </c>
      <c r="F35" t="s">
        <v>83</v>
      </c>
      <c r="G35" t="s">
        <v>21</v>
      </c>
      <c r="H35" t="s">
        <v>30</v>
      </c>
      <c r="I35">
        <v>2</v>
      </c>
      <c r="J35" s="3">
        <v>180500</v>
      </c>
      <c r="K35" s="3">
        <v>230000</v>
      </c>
      <c r="L35" s="3">
        <v>460000</v>
      </c>
      <c r="M35" s="3">
        <v>99000</v>
      </c>
      <c r="N35" t="s">
        <v>23</v>
      </c>
      <c r="O35" t="s">
        <v>24</v>
      </c>
      <c r="P35">
        <v>180</v>
      </c>
    </row>
    <row r="36" spans="1:16" hidden="1" x14ac:dyDescent="0.35">
      <c r="A36" t="s">
        <v>115</v>
      </c>
      <c r="B36" s="2">
        <v>46045</v>
      </c>
      <c r="C36" t="s">
        <v>17</v>
      </c>
      <c r="D36" t="s">
        <v>18</v>
      </c>
      <c r="E36" t="s">
        <v>19</v>
      </c>
      <c r="F36" t="s">
        <v>20</v>
      </c>
      <c r="G36" t="s">
        <v>77</v>
      </c>
      <c r="H36" t="s">
        <v>50</v>
      </c>
      <c r="I36">
        <v>-3</v>
      </c>
      <c r="J36" s="3">
        <v>190500</v>
      </c>
      <c r="K36" s="3">
        <v>247000</v>
      </c>
      <c r="L36" s="3">
        <v>-741000</v>
      </c>
      <c r="M36" s="3">
        <v>-169500</v>
      </c>
      <c r="N36" t="s">
        <v>37</v>
      </c>
      <c r="O36" t="s">
        <v>60</v>
      </c>
      <c r="P36">
        <v>180</v>
      </c>
    </row>
    <row r="37" spans="1:16" hidden="1" x14ac:dyDescent="0.35">
      <c r="A37" t="s">
        <v>116</v>
      </c>
      <c r="B37" s="2">
        <v>46210</v>
      </c>
      <c r="C37" t="s">
        <v>111</v>
      </c>
      <c r="D37" t="s">
        <v>112</v>
      </c>
      <c r="E37" t="s">
        <v>19</v>
      </c>
      <c r="F37" t="s">
        <v>83</v>
      </c>
      <c r="G37" t="s">
        <v>29</v>
      </c>
      <c r="H37" t="s">
        <v>50</v>
      </c>
      <c r="I37">
        <v>4</v>
      </c>
      <c r="J37" s="3">
        <v>185900</v>
      </c>
      <c r="K37" s="3">
        <v>221800</v>
      </c>
      <c r="L37" s="3">
        <v>887200</v>
      </c>
      <c r="M37" s="3">
        <v>143600</v>
      </c>
      <c r="N37" t="s">
        <v>23</v>
      </c>
      <c r="O37" t="s">
        <v>24</v>
      </c>
      <c r="P37">
        <v>180</v>
      </c>
    </row>
    <row r="38" spans="1:16" hidden="1" x14ac:dyDescent="0.35">
      <c r="A38" t="s">
        <v>117</v>
      </c>
      <c r="B38" s="2">
        <v>46106</v>
      </c>
      <c r="C38" t="s">
        <v>47</v>
      </c>
      <c r="D38" t="s">
        <v>48</v>
      </c>
      <c r="E38" t="s">
        <v>49</v>
      </c>
      <c r="F38" t="s">
        <v>20</v>
      </c>
      <c r="G38" t="s">
        <v>29</v>
      </c>
      <c r="H38" t="s">
        <v>50</v>
      </c>
      <c r="I38">
        <v>-1</v>
      </c>
      <c r="J38" s="3">
        <v>107900</v>
      </c>
      <c r="K38" s="3">
        <v>139900</v>
      </c>
      <c r="L38" s="3">
        <v>-139900</v>
      </c>
      <c r="M38" s="3">
        <v>-32000</v>
      </c>
      <c r="N38" t="s">
        <v>40</v>
      </c>
      <c r="O38" t="s">
        <v>60</v>
      </c>
      <c r="P38">
        <v>90</v>
      </c>
    </row>
    <row r="39" spans="1:16" hidden="1" x14ac:dyDescent="0.35">
      <c r="A39" t="s">
        <v>118</v>
      </c>
      <c r="B39" s="2">
        <v>46154</v>
      </c>
      <c r="C39" t="s">
        <v>119</v>
      </c>
      <c r="D39" t="s">
        <v>120</v>
      </c>
      <c r="E39" t="s">
        <v>54</v>
      </c>
      <c r="F39" t="s">
        <v>83</v>
      </c>
      <c r="G39" t="s">
        <v>77</v>
      </c>
      <c r="H39" t="s">
        <v>50</v>
      </c>
      <c r="I39">
        <v>1</v>
      </c>
      <c r="J39" s="3">
        <v>7700</v>
      </c>
      <c r="K39" s="3">
        <v>9800</v>
      </c>
      <c r="L39" s="3">
        <v>9800</v>
      </c>
      <c r="M39" s="3">
        <v>2100</v>
      </c>
      <c r="N39" t="s">
        <v>23</v>
      </c>
      <c r="O39" t="s">
        <v>45</v>
      </c>
      <c r="P39">
        <v>30</v>
      </c>
    </row>
    <row r="40" spans="1:16" hidden="1" x14ac:dyDescent="0.35">
      <c r="A40" t="s">
        <v>121</v>
      </c>
      <c r="B40" s="2">
        <v>46206</v>
      </c>
      <c r="C40" t="s">
        <v>52</v>
      </c>
      <c r="D40" t="s">
        <v>53</v>
      </c>
      <c r="E40" t="s">
        <v>54</v>
      </c>
      <c r="F40" t="s">
        <v>55</v>
      </c>
      <c r="G40" t="s">
        <v>77</v>
      </c>
      <c r="H40" t="s">
        <v>50</v>
      </c>
      <c r="I40">
        <v>1</v>
      </c>
      <c r="J40" s="3">
        <v>31400</v>
      </c>
      <c r="K40" s="3">
        <v>40600</v>
      </c>
      <c r="L40" s="3">
        <v>40600</v>
      </c>
      <c r="M40" s="3">
        <v>9200</v>
      </c>
      <c r="N40" t="s">
        <v>40</v>
      </c>
      <c r="O40" t="s">
        <v>45</v>
      </c>
      <c r="P40">
        <v>30</v>
      </c>
    </row>
    <row r="41" spans="1:16" hidden="1" x14ac:dyDescent="0.35">
      <c r="A41" t="s">
        <v>122</v>
      </c>
      <c r="B41" s="2">
        <v>46169</v>
      </c>
      <c r="C41" t="s">
        <v>33</v>
      </c>
      <c r="D41" t="s">
        <v>34</v>
      </c>
      <c r="E41" t="s">
        <v>19</v>
      </c>
      <c r="F41" t="s">
        <v>20</v>
      </c>
      <c r="G41" t="s">
        <v>77</v>
      </c>
      <c r="H41" t="s">
        <v>30</v>
      </c>
      <c r="I41">
        <v>1</v>
      </c>
      <c r="J41" s="3">
        <v>272400</v>
      </c>
      <c r="K41" s="3">
        <v>326800</v>
      </c>
      <c r="L41" s="3">
        <v>326800</v>
      </c>
      <c r="M41" s="3">
        <v>54400</v>
      </c>
      <c r="N41" t="s">
        <v>31</v>
      </c>
      <c r="O41" t="s">
        <v>24</v>
      </c>
      <c r="P41">
        <v>180</v>
      </c>
    </row>
    <row r="42" spans="1:16" hidden="1" x14ac:dyDescent="0.35">
      <c r="A42" t="s">
        <v>123</v>
      </c>
      <c r="B42" s="2">
        <v>46046</v>
      </c>
      <c r="C42" t="s">
        <v>33</v>
      </c>
      <c r="D42" t="s">
        <v>34</v>
      </c>
      <c r="E42" t="s">
        <v>19</v>
      </c>
      <c r="F42" t="s">
        <v>20</v>
      </c>
      <c r="G42" t="s">
        <v>39</v>
      </c>
      <c r="H42" t="s">
        <v>30</v>
      </c>
      <c r="I42">
        <v>1</v>
      </c>
      <c r="J42" s="3">
        <v>196100</v>
      </c>
      <c r="K42" s="3">
        <v>257700</v>
      </c>
      <c r="L42" s="3">
        <v>257700</v>
      </c>
      <c r="M42" s="3">
        <v>61600</v>
      </c>
      <c r="N42" t="s">
        <v>31</v>
      </c>
      <c r="O42" t="s">
        <v>24</v>
      </c>
      <c r="P42">
        <v>180</v>
      </c>
    </row>
    <row r="43" spans="1:16" hidden="1" x14ac:dyDescent="0.35">
      <c r="A43" t="s">
        <v>124</v>
      </c>
      <c r="B43" s="2">
        <v>46124</v>
      </c>
      <c r="C43" t="s">
        <v>57</v>
      </c>
      <c r="D43" t="s">
        <v>58</v>
      </c>
      <c r="E43" t="s">
        <v>49</v>
      </c>
      <c r="F43" t="s">
        <v>59</v>
      </c>
      <c r="G43" t="s">
        <v>77</v>
      </c>
      <c r="H43" t="s">
        <v>22</v>
      </c>
      <c r="I43">
        <v>-1</v>
      </c>
      <c r="J43" s="3">
        <v>89000</v>
      </c>
      <c r="K43" s="3">
        <v>117200</v>
      </c>
      <c r="L43" s="3">
        <v>-117200</v>
      </c>
      <c r="M43" s="3">
        <v>-28200</v>
      </c>
      <c r="N43" t="s">
        <v>37</v>
      </c>
      <c r="O43" t="s">
        <v>60</v>
      </c>
      <c r="P43">
        <v>90</v>
      </c>
    </row>
    <row r="44" spans="1:16" hidden="1" x14ac:dyDescent="0.35">
      <c r="A44" t="s">
        <v>125</v>
      </c>
      <c r="B44" s="2">
        <v>46213</v>
      </c>
      <c r="C44" t="s">
        <v>33</v>
      </c>
      <c r="D44" t="s">
        <v>34</v>
      </c>
      <c r="E44" t="s">
        <v>19</v>
      </c>
      <c r="F44" t="s">
        <v>20</v>
      </c>
      <c r="G44" t="s">
        <v>21</v>
      </c>
      <c r="H44" t="s">
        <v>22</v>
      </c>
      <c r="I44">
        <v>2</v>
      </c>
      <c r="J44" s="3">
        <v>252800</v>
      </c>
      <c r="K44" s="3">
        <v>323900</v>
      </c>
      <c r="L44" s="3">
        <v>647800</v>
      </c>
      <c r="M44" s="3">
        <v>142200</v>
      </c>
      <c r="N44" t="s">
        <v>31</v>
      </c>
      <c r="O44" t="s">
        <v>24</v>
      </c>
      <c r="P44">
        <v>180</v>
      </c>
    </row>
    <row r="45" spans="1:16" hidden="1" x14ac:dyDescent="0.35">
      <c r="A45" t="s">
        <v>126</v>
      </c>
      <c r="B45" s="2">
        <v>46286</v>
      </c>
      <c r="C45" t="s">
        <v>69</v>
      </c>
      <c r="D45" t="s">
        <v>70</v>
      </c>
      <c r="E45" t="s">
        <v>54</v>
      </c>
      <c r="F45" t="s">
        <v>64</v>
      </c>
      <c r="G45" t="s">
        <v>77</v>
      </c>
      <c r="H45" t="s">
        <v>30</v>
      </c>
      <c r="I45">
        <v>2</v>
      </c>
      <c r="J45" s="3">
        <v>15800</v>
      </c>
      <c r="K45" s="3">
        <v>20400</v>
      </c>
      <c r="L45" s="3">
        <v>40800</v>
      </c>
      <c r="M45" s="3">
        <v>9200</v>
      </c>
      <c r="N45" t="s">
        <v>31</v>
      </c>
      <c r="O45" t="s">
        <v>24</v>
      </c>
      <c r="P45">
        <v>30</v>
      </c>
    </row>
    <row r="46" spans="1:16" hidden="1" x14ac:dyDescent="0.35">
      <c r="A46" t="s">
        <v>127</v>
      </c>
      <c r="B46" s="2">
        <v>46116</v>
      </c>
      <c r="C46" t="s">
        <v>52</v>
      </c>
      <c r="D46" t="s">
        <v>53</v>
      </c>
      <c r="E46" t="s">
        <v>54</v>
      </c>
      <c r="F46" t="s">
        <v>55</v>
      </c>
      <c r="G46" t="s">
        <v>77</v>
      </c>
      <c r="H46" t="s">
        <v>30</v>
      </c>
      <c r="I46">
        <v>1</v>
      </c>
      <c r="J46" s="3">
        <v>26500</v>
      </c>
      <c r="K46" s="3">
        <v>32600</v>
      </c>
      <c r="L46" s="3">
        <v>32600</v>
      </c>
      <c r="M46" s="3">
        <v>6100</v>
      </c>
      <c r="N46" t="s">
        <v>23</v>
      </c>
      <c r="O46" t="s">
        <v>45</v>
      </c>
      <c r="P46">
        <v>30</v>
      </c>
    </row>
    <row r="47" spans="1:16" hidden="1" x14ac:dyDescent="0.35">
      <c r="A47" t="s">
        <v>128</v>
      </c>
      <c r="B47" s="2">
        <v>46265</v>
      </c>
      <c r="C47" t="s">
        <v>42</v>
      </c>
      <c r="D47" t="s">
        <v>43</v>
      </c>
      <c r="E47" t="s">
        <v>44</v>
      </c>
      <c r="F47" t="s">
        <v>28</v>
      </c>
      <c r="G47" t="s">
        <v>21</v>
      </c>
      <c r="H47" t="s">
        <v>30</v>
      </c>
      <c r="I47">
        <v>2</v>
      </c>
      <c r="J47" s="3">
        <v>201600</v>
      </c>
      <c r="K47" s="3">
        <v>243100</v>
      </c>
      <c r="L47" s="3">
        <v>486200</v>
      </c>
      <c r="M47" s="3">
        <v>83000</v>
      </c>
      <c r="N47" t="s">
        <v>40</v>
      </c>
      <c r="O47" t="s">
        <v>24</v>
      </c>
      <c r="P47">
        <v>180</v>
      </c>
    </row>
    <row r="48" spans="1:16" x14ac:dyDescent="0.35">
      <c r="A48" t="s">
        <v>129</v>
      </c>
      <c r="B48" s="2">
        <v>46070</v>
      </c>
      <c r="C48" t="s">
        <v>73</v>
      </c>
      <c r="D48" t="s">
        <v>74</v>
      </c>
      <c r="E48" t="s">
        <v>75</v>
      </c>
      <c r="F48" t="s">
        <v>76</v>
      </c>
      <c r="G48" t="s">
        <v>77</v>
      </c>
      <c r="H48" t="s">
        <v>35</v>
      </c>
      <c r="I48">
        <v>2</v>
      </c>
      <c r="J48" s="3">
        <v>48700</v>
      </c>
      <c r="K48" s="3">
        <v>63300</v>
      </c>
      <c r="L48" s="3">
        <v>126600</v>
      </c>
      <c r="M48" s="3">
        <v>29200</v>
      </c>
      <c r="N48" t="s">
        <v>23</v>
      </c>
      <c r="O48" t="s">
        <v>24</v>
      </c>
      <c r="P48">
        <v>90</v>
      </c>
    </row>
    <row r="49" spans="1:16" hidden="1" x14ac:dyDescent="0.35">
      <c r="A49" t="s">
        <v>130</v>
      </c>
      <c r="B49" s="2">
        <v>46050</v>
      </c>
      <c r="C49" t="s">
        <v>66</v>
      </c>
      <c r="D49" t="s">
        <v>67</v>
      </c>
      <c r="E49" t="s">
        <v>44</v>
      </c>
      <c r="F49" t="s">
        <v>20</v>
      </c>
      <c r="G49" t="s">
        <v>29</v>
      </c>
      <c r="H49" t="s">
        <v>30</v>
      </c>
      <c r="I49">
        <v>1</v>
      </c>
      <c r="J49" s="3">
        <v>244000</v>
      </c>
      <c r="K49" s="3">
        <v>284200</v>
      </c>
      <c r="L49" s="3">
        <v>284200</v>
      </c>
      <c r="M49" s="3">
        <v>40200</v>
      </c>
      <c r="N49" t="s">
        <v>23</v>
      </c>
      <c r="O49" t="s">
        <v>24</v>
      </c>
      <c r="P49">
        <v>180</v>
      </c>
    </row>
    <row r="50" spans="1:16" hidden="1" x14ac:dyDescent="0.35">
      <c r="A50" t="s">
        <v>131</v>
      </c>
      <c r="B50" s="2">
        <v>46280</v>
      </c>
      <c r="C50" t="s">
        <v>62</v>
      </c>
      <c r="D50" t="s">
        <v>63</v>
      </c>
      <c r="E50" t="s">
        <v>54</v>
      </c>
      <c r="F50" t="s">
        <v>64</v>
      </c>
      <c r="G50" t="s">
        <v>21</v>
      </c>
      <c r="H50" t="s">
        <v>50</v>
      </c>
      <c r="I50">
        <v>1</v>
      </c>
      <c r="J50" s="3">
        <v>18600</v>
      </c>
      <c r="K50" s="3">
        <v>23200</v>
      </c>
      <c r="L50" s="3">
        <v>23200</v>
      </c>
      <c r="M50" s="3">
        <v>4600</v>
      </c>
      <c r="N50" t="s">
        <v>40</v>
      </c>
      <c r="O50" t="s">
        <v>45</v>
      </c>
      <c r="P50">
        <v>30</v>
      </c>
    </row>
    <row r="51" spans="1:16" hidden="1" x14ac:dyDescent="0.35">
      <c r="A51" t="s">
        <v>132</v>
      </c>
      <c r="B51" s="2">
        <v>46139</v>
      </c>
      <c r="C51" t="s">
        <v>33</v>
      </c>
      <c r="D51" t="s">
        <v>34</v>
      </c>
      <c r="E51" t="s">
        <v>19</v>
      </c>
      <c r="F51" t="s">
        <v>20</v>
      </c>
      <c r="G51" t="s">
        <v>29</v>
      </c>
      <c r="H51" t="s">
        <v>30</v>
      </c>
      <c r="I51">
        <v>3</v>
      </c>
      <c r="J51" s="3">
        <v>305000</v>
      </c>
      <c r="K51" s="3">
        <v>394100</v>
      </c>
      <c r="L51" s="3">
        <v>1182300</v>
      </c>
      <c r="M51" s="3">
        <v>267300</v>
      </c>
      <c r="N51" t="s">
        <v>23</v>
      </c>
      <c r="O51" t="s">
        <v>45</v>
      </c>
      <c r="P51">
        <v>180</v>
      </c>
    </row>
    <row r="52" spans="1:16" hidden="1" x14ac:dyDescent="0.35">
      <c r="A52" t="s">
        <v>133</v>
      </c>
      <c r="B52" s="2">
        <v>46189</v>
      </c>
      <c r="C52" t="s">
        <v>134</v>
      </c>
      <c r="D52" t="s">
        <v>135</v>
      </c>
      <c r="E52" t="s">
        <v>106</v>
      </c>
      <c r="F52" t="s">
        <v>76</v>
      </c>
      <c r="G52" t="s">
        <v>21</v>
      </c>
      <c r="H52" t="s">
        <v>30</v>
      </c>
      <c r="I52">
        <v>1</v>
      </c>
      <c r="J52" s="3">
        <v>27200</v>
      </c>
      <c r="K52" s="3">
        <v>35100</v>
      </c>
      <c r="L52" s="3">
        <v>35100</v>
      </c>
      <c r="M52" s="3">
        <v>7900</v>
      </c>
      <c r="N52" t="s">
        <v>37</v>
      </c>
      <c r="O52" t="s">
        <v>45</v>
      </c>
      <c r="P52">
        <v>90</v>
      </c>
    </row>
    <row r="53" spans="1:16" hidden="1" x14ac:dyDescent="0.35">
      <c r="A53" t="s">
        <v>136</v>
      </c>
      <c r="B53" s="2">
        <v>46168</v>
      </c>
      <c r="C53" t="s">
        <v>95</v>
      </c>
      <c r="D53" t="s">
        <v>96</v>
      </c>
      <c r="E53" t="s">
        <v>19</v>
      </c>
      <c r="F53" t="s">
        <v>28</v>
      </c>
      <c r="G53" t="s">
        <v>21</v>
      </c>
      <c r="H53" t="s">
        <v>50</v>
      </c>
      <c r="I53">
        <v>1</v>
      </c>
      <c r="J53" s="3">
        <v>284100</v>
      </c>
      <c r="K53" s="3">
        <v>345200</v>
      </c>
      <c r="L53" s="3">
        <v>345200</v>
      </c>
      <c r="M53" s="3">
        <v>61100</v>
      </c>
      <c r="N53" t="s">
        <v>31</v>
      </c>
      <c r="O53" t="s">
        <v>24</v>
      </c>
      <c r="P53">
        <v>180</v>
      </c>
    </row>
    <row r="54" spans="1:16" hidden="1" x14ac:dyDescent="0.35">
      <c r="A54" t="s">
        <v>137</v>
      </c>
      <c r="B54" s="2">
        <v>46068</v>
      </c>
      <c r="C54" t="s">
        <v>62</v>
      </c>
      <c r="D54" t="s">
        <v>63</v>
      </c>
      <c r="E54" t="s">
        <v>54</v>
      </c>
      <c r="F54" t="s">
        <v>64</v>
      </c>
      <c r="G54" t="s">
        <v>29</v>
      </c>
      <c r="H54" t="s">
        <v>50</v>
      </c>
      <c r="I54">
        <v>1</v>
      </c>
      <c r="J54" s="3">
        <v>9200</v>
      </c>
      <c r="K54" s="3">
        <v>10800</v>
      </c>
      <c r="L54" s="3">
        <v>10800</v>
      </c>
      <c r="M54" s="3">
        <v>1600</v>
      </c>
      <c r="N54" t="s">
        <v>40</v>
      </c>
      <c r="O54" t="s">
        <v>24</v>
      </c>
      <c r="P54">
        <v>30</v>
      </c>
    </row>
    <row r="55" spans="1:16" hidden="1" x14ac:dyDescent="0.35">
      <c r="A55" t="s">
        <v>138</v>
      </c>
      <c r="B55" s="2">
        <v>46196</v>
      </c>
      <c r="C55" t="s">
        <v>52</v>
      </c>
      <c r="D55" t="s">
        <v>53</v>
      </c>
      <c r="E55" t="s">
        <v>54</v>
      </c>
      <c r="F55" t="s">
        <v>55</v>
      </c>
      <c r="G55" t="s">
        <v>21</v>
      </c>
      <c r="H55" t="s">
        <v>30</v>
      </c>
      <c r="I55">
        <v>1</v>
      </c>
      <c r="J55" s="3">
        <v>26400</v>
      </c>
      <c r="K55" s="3">
        <v>33300</v>
      </c>
      <c r="L55" s="3">
        <v>33300</v>
      </c>
      <c r="M55" s="3">
        <v>6900</v>
      </c>
      <c r="N55" t="s">
        <v>23</v>
      </c>
      <c r="O55" t="s">
        <v>45</v>
      </c>
      <c r="P55">
        <v>30</v>
      </c>
    </row>
    <row r="56" spans="1:16" hidden="1" x14ac:dyDescent="0.35">
      <c r="A56" t="s">
        <v>139</v>
      </c>
      <c r="B56" s="2">
        <v>46221</v>
      </c>
      <c r="C56" t="s">
        <v>90</v>
      </c>
      <c r="D56" t="s">
        <v>91</v>
      </c>
      <c r="E56" t="s">
        <v>19</v>
      </c>
      <c r="F56" t="s">
        <v>92</v>
      </c>
      <c r="G56" t="s">
        <v>21</v>
      </c>
      <c r="H56" t="s">
        <v>22</v>
      </c>
      <c r="I56">
        <v>2</v>
      </c>
      <c r="J56" s="3">
        <v>296600</v>
      </c>
      <c r="K56" s="3">
        <v>355300</v>
      </c>
      <c r="L56" s="3">
        <v>710600</v>
      </c>
      <c r="M56" s="3">
        <v>117400</v>
      </c>
      <c r="N56" t="s">
        <v>31</v>
      </c>
      <c r="O56" t="s">
        <v>24</v>
      </c>
      <c r="P56">
        <v>180</v>
      </c>
    </row>
    <row r="57" spans="1:16" hidden="1" x14ac:dyDescent="0.35">
      <c r="A57" t="s">
        <v>140</v>
      </c>
      <c r="B57" s="2">
        <v>46139</v>
      </c>
      <c r="C57" t="s">
        <v>42</v>
      </c>
      <c r="D57" t="s">
        <v>43</v>
      </c>
      <c r="E57" t="s">
        <v>44</v>
      </c>
      <c r="F57" t="s">
        <v>28</v>
      </c>
      <c r="G57" t="s">
        <v>21</v>
      </c>
      <c r="H57" t="s">
        <v>50</v>
      </c>
      <c r="I57">
        <v>4</v>
      </c>
      <c r="J57" s="3">
        <v>252900</v>
      </c>
      <c r="K57" s="3">
        <v>326400</v>
      </c>
      <c r="L57" s="3">
        <v>1305600</v>
      </c>
      <c r="M57" s="3">
        <v>294000</v>
      </c>
      <c r="N57" t="s">
        <v>31</v>
      </c>
      <c r="O57" t="s">
        <v>45</v>
      </c>
      <c r="P57">
        <v>180</v>
      </c>
    </row>
    <row r="58" spans="1:16" hidden="1" x14ac:dyDescent="0.35">
      <c r="A58" t="s">
        <v>141</v>
      </c>
      <c r="B58" s="2">
        <v>46111</v>
      </c>
      <c r="C58" t="s">
        <v>119</v>
      </c>
      <c r="D58" t="s">
        <v>120</v>
      </c>
      <c r="E58" t="s">
        <v>54</v>
      </c>
      <c r="F58" t="s">
        <v>83</v>
      </c>
      <c r="G58" t="s">
        <v>21</v>
      </c>
      <c r="H58" t="s">
        <v>50</v>
      </c>
      <c r="I58">
        <v>2</v>
      </c>
      <c r="J58" s="3">
        <v>20600</v>
      </c>
      <c r="K58" s="3">
        <v>24700</v>
      </c>
      <c r="L58" s="3">
        <v>49400</v>
      </c>
      <c r="M58" s="3">
        <v>8200</v>
      </c>
      <c r="N58" t="s">
        <v>23</v>
      </c>
      <c r="O58" t="s">
        <v>45</v>
      </c>
      <c r="P58">
        <v>30</v>
      </c>
    </row>
    <row r="59" spans="1:16" hidden="1" x14ac:dyDescent="0.35">
      <c r="A59" t="s">
        <v>142</v>
      </c>
      <c r="B59" s="2">
        <v>46096</v>
      </c>
      <c r="C59" t="s">
        <v>52</v>
      </c>
      <c r="D59" t="s">
        <v>53</v>
      </c>
      <c r="E59" t="s">
        <v>54</v>
      </c>
      <c r="F59" t="s">
        <v>55</v>
      </c>
      <c r="G59" t="s">
        <v>21</v>
      </c>
      <c r="H59" t="s">
        <v>50</v>
      </c>
      <c r="I59">
        <v>1</v>
      </c>
      <c r="J59" s="3">
        <v>23600</v>
      </c>
      <c r="K59" s="3">
        <v>29600</v>
      </c>
      <c r="L59" s="3">
        <v>29600</v>
      </c>
      <c r="M59" s="3">
        <v>6000</v>
      </c>
      <c r="N59" t="s">
        <v>23</v>
      </c>
      <c r="O59" t="s">
        <v>45</v>
      </c>
      <c r="P59">
        <v>30</v>
      </c>
    </row>
    <row r="60" spans="1:16" x14ac:dyDescent="0.35">
      <c r="A60" t="s">
        <v>143</v>
      </c>
      <c r="B60" s="2">
        <v>46169</v>
      </c>
      <c r="C60" t="s">
        <v>81</v>
      </c>
      <c r="D60" t="s">
        <v>82</v>
      </c>
      <c r="E60" t="s">
        <v>44</v>
      </c>
      <c r="F60" t="s">
        <v>83</v>
      </c>
      <c r="G60" t="s">
        <v>21</v>
      </c>
      <c r="H60" t="s">
        <v>35</v>
      </c>
      <c r="I60">
        <v>1</v>
      </c>
      <c r="J60" s="3">
        <v>211700</v>
      </c>
      <c r="K60" s="3">
        <v>246100</v>
      </c>
      <c r="L60" s="3">
        <v>246100</v>
      </c>
      <c r="M60" s="3">
        <v>34400</v>
      </c>
      <c r="N60" t="s">
        <v>23</v>
      </c>
      <c r="O60" t="s">
        <v>45</v>
      </c>
      <c r="P60">
        <v>180</v>
      </c>
    </row>
    <row r="61" spans="1:16" hidden="1" x14ac:dyDescent="0.35">
      <c r="A61" t="s">
        <v>144</v>
      </c>
      <c r="B61" s="2">
        <v>46141</v>
      </c>
      <c r="C61" t="s">
        <v>87</v>
      </c>
      <c r="D61" t="s">
        <v>88</v>
      </c>
      <c r="E61" t="s">
        <v>75</v>
      </c>
      <c r="F61" t="s">
        <v>76</v>
      </c>
      <c r="G61" t="s">
        <v>39</v>
      </c>
      <c r="H61" t="s">
        <v>22</v>
      </c>
      <c r="I61">
        <v>5</v>
      </c>
      <c r="J61" s="3">
        <v>26000</v>
      </c>
      <c r="K61" s="3">
        <v>31900</v>
      </c>
      <c r="L61" s="3">
        <v>159500</v>
      </c>
      <c r="M61" s="3">
        <v>29500</v>
      </c>
      <c r="N61" t="s">
        <v>23</v>
      </c>
      <c r="O61" t="s">
        <v>24</v>
      </c>
      <c r="P61">
        <v>90</v>
      </c>
    </row>
    <row r="62" spans="1:16" hidden="1" x14ac:dyDescent="0.35">
      <c r="A62" t="s">
        <v>145</v>
      </c>
      <c r="B62" s="2">
        <v>46269</v>
      </c>
      <c r="C62" t="s">
        <v>66</v>
      </c>
      <c r="D62" t="s">
        <v>67</v>
      </c>
      <c r="E62" t="s">
        <v>44</v>
      </c>
      <c r="F62" t="s">
        <v>20</v>
      </c>
      <c r="G62" t="s">
        <v>39</v>
      </c>
      <c r="H62" t="s">
        <v>50</v>
      </c>
      <c r="I62">
        <v>1</v>
      </c>
      <c r="J62" s="3">
        <v>191900</v>
      </c>
      <c r="K62" s="3">
        <v>215700</v>
      </c>
      <c r="L62" s="3">
        <v>215700</v>
      </c>
      <c r="M62" s="3">
        <v>23800</v>
      </c>
      <c r="N62" t="s">
        <v>37</v>
      </c>
      <c r="O62" t="s">
        <v>24</v>
      </c>
      <c r="P62">
        <v>180</v>
      </c>
    </row>
    <row r="63" spans="1:16" hidden="1" x14ac:dyDescent="0.35">
      <c r="A63" t="s">
        <v>146</v>
      </c>
      <c r="B63" s="2">
        <v>46110</v>
      </c>
      <c r="C63" t="s">
        <v>81</v>
      </c>
      <c r="D63" t="s">
        <v>82</v>
      </c>
      <c r="E63" t="s">
        <v>44</v>
      </c>
      <c r="F63" t="s">
        <v>83</v>
      </c>
      <c r="G63" t="s">
        <v>77</v>
      </c>
      <c r="H63" t="s">
        <v>22</v>
      </c>
      <c r="I63">
        <v>2</v>
      </c>
      <c r="J63" s="3">
        <v>254400</v>
      </c>
      <c r="K63" s="3">
        <v>293500</v>
      </c>
      <c r="L63" s="3">
        <v>587000</v>
      </c>
      <c r="M63" s="3">
        <v>78200</v>
      </c>
      <c r="N63" t="s">
        <v>23</v>
      </c>
      <c r="O63" t="s">
        <v>24</v>
      </c>
      <c r="P63">
        <v>180</v>
      </c>
    </row>
    <row r="64" spans="1:16" hidden="1" x14ac:dyDescent="0.35">
      <c r="A64" t="s">
        <v>147</v>
      </c>
      <c r="B64" s="2">
        <v>46065</v>
      </c>
      <c r="C64" t="s">
        <v>42</v>
      </c>
      <c r="D64" t="s">
        <v>43</v>
      </c>
      <c r="E64" t="s">
        <v>44</v>
      </c>
      <c r="F64" t="s">
        <v>28</v>
      </c>
      <c r="G64" t="s">
        <v>29</v>
      </c>
      <c r="H64" t="s">
        <v>22</v>
      </c>
      <c r="I64">
        <v>1</v>
      </c>
      <c r="J64" s="3">
        <v>233300</v>
      </c>
      <c r="K64" s="3">
        <v>303700</v>
      </c>
      <c r="L64" s="3">
        <v>303700</v>
      </c>
      <c r="M64" s="3">
        <v>70400</v>
      </c>
      <c r="N64" t="s">
        <v>31</v>
      </c>
      <c r="O64" t="s">
        <v>24</v>
      </c>
      <c r="P64">
        <v>180</v>
      </c>
    </row>
    <row r="65" spans="1:16" x14ac:dyDescent="0.35">
      <c r="A65" t="s">
        <v>148</v>
      </c>
      <c r="B65" s="2">
        <v>46204</v>
      </c>
      <c r="C65" t="s">
        <v>69</v>
      </c>
      <c r="D65" t="s">
        <v>70</v>
      </c>
      <c r="E65" t="s">
        <v>54</v>
      </c>
      <c r="F65" t="s">
        <v>64</v>
      </c>
      <c r="G65" t="s">
        <v>21</v>
      </c>
      <c r="H65" t="s">
        <v>35</v>
      </c>
      <c r="I65">
        <v>2</v>
      </c>
      <c r="J65" s="3">
        <v>29600</v>
      </c>
      <c r="K65" s="3">
        <v>37900</v>
      </c>
      <c r="L65" s="3">
        <v>75800</v>
      </c>
      <c r="M65" s="3">
        <v>16600</v>
      </c>
      <c r="N65" t="s">
        <v>23</v>
      </c>
      <c r="O65" t="s">
        <v>24</v>
      </c>
      <c r="P65">
        <v>30</v>
      </c>
    </row>
    <row r="66" spans="1:16" x14ac:dyDescent="0.35">
      <c r="A66" t="s">
        <v>149</v>
      </c>
      <c r="B66" s="2">
        <v>46081</v>
      </c>
      <c r="C66" t="s">
        <v>73</v>
      </c>
      <c r="D66" t="s">
        <v>74</v>
      </c>
      <c r="E66" t="s">
        <v>75</v>
      </c>
      <c r="F66" t="s">
        <v>76</v>
      </c>
      <c r="G66" t="s">
        <v>21</v>
      </c>
      <c r="H66" t="s">
        <v>35</v>
      </c>
      <c r="I66">
        <v>1</v>
      </c>
      <c r="J66" s="3">
        <v>57400</v>
      </c>
      <c r="K66" s="3">
        <v>64400</v>
      </c>
      <c r="L66" s="3">
        <v>64400</v>
      </c>
      <c r="M66" s="3">
        <v>7000</v>
      </c>
      <c r="N66" t="s">
        <v>37</v>
      </c>
      <c r="O66" t="s">
        <v>45</v>
      </c>
      <c r="P66">
        <v>90</v>
      </c>
    </row>
    <row r="67" spans="1:16" hidden="1" x14ac:dyDescent="0.35">
      <c r="A67" t="s">
        <v>150</v>
      </c>
      <c r="B67" s="2">
        <v>46274</v>
      </c>
      <c r="C67" t="s">
        <v>111</v>
      </c>
      <c r="D67" t="s">
        <v>112</v>
      </c>
      <c r="E67" t="s">
        <v>19</v>
      </c>
      <c r="F67" t="s">
        <v>83</v>
      </c>
      <c r="G67" t="s">
        <v>21</v>
      </c>
      <c r="H67" t="s">
        <v>30</v>
      </c>
      <c r="I67">
        <v>4</v>
      </c>
      <c r="J67" s="3">
        <v>241000</v>
      </c>
      <c r="K67" s="3">
        <v>305300</v>
      </c>
      <c r="L67" s="3">
        <v>1221200</v>
      </c>
      <c r="M67" s="3">
        <v>257200</v>
      </c>
      <c r="N67" t="s">
        <v>31</v>
      </c>
      <c r="O67" t="s">
        <v>24</v>
      </c>
      <c r="P67">
        <v>180</v>
      </c>
    </row>
    <row r="68" spans="1:16" hidden="1" x14ac:dyDescent="0.35">
      <c r="A68" t="s">
        <v>151</v>
      </c>
      <c r="B68" s="2">
        <v>46151</v>
      </c>
      <c r="C68" t="s">
        <v>57</v>
      </c>
      <c r="D68" t="s">
        <v>58</v>
      </c>
      <c r="E68" t="s">
        <v>49</v>
      </c>
      <c r="F68" t="s">
        <v>59</v>
      </c>
      <c r="G68" t="s">
        <v>21</v>
      </c>
      <c r="H68" t="s">
        <v>30</v>
      </c>
      <c r="I68">
        <v>1</v>
      </c>
      <c r="J68" s="3">
        <v>111800</v>
      </c>
      <c r="K68" s="3">
        <v>143800</v>
      </c>
      <c r="L68" s="3">
        <v>143800</v>
      </c>
      <c r="M68" s="3">
        <v>32000</v>
      </c>
      <c r="N68" t="s">
        <v>31</v>
      </c>
      <c r="O68" t="s">
        <v>45</v>
      </c>
      <c r="P68">
        <v>90</v>
      </c>
    </row>
    <row r="69" spans="1:16" x14ac:dyDescent="0.35">
      <c r="A69" t="s">
        <v>152</v>
      </c>
      <c r="B69" s="2">
        <v>46159</v>
      </c>
      <c r="C69" t="s">
        <v>33</v>
      </c>
      <c r="D69" t="s">
        <v>34</v>
      </c>
      <c r="E69" t="s">
        <v>19</v>
      </c>
      <c r="F69" t="s">
        <v>20</v>
      </c>
      <c r="G69" t="s">
        <v>77</v>
      </c>
      <c r="H69" t="s">
        <v>35</v>
      </c>
      <c r="I69">
        <v>1</v>
      </c>
      <c r="J69" s="3">
        <v>249200</v>
      </c>
      <c r="K69" s="3">
        <v>295300</v>
      </c>
      <c r="L69" s="3">
        <v>295300</v>
      </c>
      <c r="M69" s="3">
        <v>46100</v>
      </c>
      <c r="N69" t="s">
        <v>31</v>
      </c>
      <c r="O69" t="s">
        <v>24</v>
      </c>
      <c r="P69">
        <v>180</v>
      </c>
    </row>
    <row r="70" spans="1:16" hidden="1" x14ac:dyDescent="0.35">
      <c r="A70" t="s">
        <v>153</v>
      </c>
      <c r="B70" s="2">
        <v>46277</v>
      </c>
      <c r="C70" t="s">
        <v>134</v>
      </c>
      <c r="D70" t="s">
        <v>135</v>
      </c>
      <c r="E70" t="s">
        <v>106</v>
      </c>
      <c r="F70" t="s">
        <v>76</v>
      </c>
      <c r="G70" t="s">
        <v>29</v>
      </c>
      <c r="H70" t="s">
        <v>30</v>
      </c>
      <c r="I70">
        <v>1</v>
      </c>
      <c r="J70" s="3">
        <v>18400</v>
      </c>
      <c r="K70" s="3">
        <v>24100</v>
      </c>
      <c r="L70" s="3">
        <v>24100</v>
      </c>
      <c r="M70" s="3">
        <v>5700</v>
      </c>
      <c r="N70" t="s">
        <v>37</v>
      </c>
      <c r="O70" t="s">
        <v>45</v>
      </c>
      <c r="P70">
        <v>90</v>
      </c>
    </row>
    <row r="71" spans="1:16" hidden="1" x14ac:dyDescent="0.35">
      <c r="A71" t="s">
        <v>154</v>
      </c>
      <c r="B71" s="2">
        <v>46183</v>
      </c>
      <c r="C71" t="s">
        <v>62</v>
      </c>
      <c r="D71" t="s">
        <v>63</v>
      </c>
      <c r="E71" t="s">
        <v>54</v>
      </c>
      <c r="F71" t="s">
        <v>64</v>
      </c>
      <c r="G71" t="s">
        <v>77</v>
      </c>
      <c r="H71" t="s">
        <v>30</v>
      </c>
      <c r="I71">
        <v>1</v>
      </c>
      <c r="J71" s="3">
        <v>29200</v>
      </c>
      <c r="K71" s="3">
        <v>33200</v>
      </c>
      <c r="L71" s="3">
        <v>33200</v>
      </c>
      <c r="M71" s="3">
        <v>4000</v>
      </c>
      <c r="N71" t="s">
        <v>31</v>
      </c>
      <c r="O71" t="s">
        <v>24</v>
      </c>
      <c r="P71">
        <v>30</v>
      </c>
    </row>
    <row r="72" spans="1:16" x14ac:dyDescent="0.35">
      <c r="A72" t="s">
        <v>155</v>
      </c>
      <c r="B72" s="2">
        <v>46165</v>
      </c>
      <c r="C72" t="s">
        <v>119</v>
      </c>
      <c r="D72" t="s">
        <v>120</v>
      </c>
      <c r="E72" t="s">
        <v>54</v>
      </c>
      <c r="F72" t="s">
        <v>83</v>
      </c>
      <c r="G72" t="s">
        <v>77</v>
      </c>
      <c r="H72" t="s">
        <v>35</v>
      </c>
      <c r="I72">
        <v>1</v>
      </c>
      <c r="J72" s="3">
        <v>34900</v>
      </c>
      <c r="K72" s="3">
        <v>42900</v>
      </c>
      <c r="L72" s="3">
        <v>42900</v>
      </c>
      <c r="M72" s="3">
        <v>8000</v>
      </c>
      <c r="N72" t="s">
        <v>40</v>
      </c>
      <c r="O72" t="s">
        <v>45</v>
      </c>
      <c r="P72">
        <v>30</v>
      </c>
    </row>
    <row r="73" spans="1:16" hidden="1" x14ac:dyDescent="0.35">
      <c r="A73" t="s">
        <v>156</v>
      </c>
      <c r="B73" s="2">
        <v>46125</v>
      </c>
      <c r="C73" t="s">
        <v>17</v>
      </c>
      <c r="D73" t="s">
        <v>18</v>
      </c>
      <c r="E73" t="s">
        <v>19</v>
      </c>
      <c r="F73" t="s">
        <v>20</v>
      </c>
      <c r="G73" t="s">
        <v>29</v>
      </c>
      <c r="H73" t="s">
        <v>30</v>
      </c>
      <c r="I73">
        <v>2</v>
      </c>
      <c r="J73" s="3">
        <v>281000</v>
      </c>
      <c r="K73" s="3">
        <v>332500</v>
      </c>
      <c r="L73" s="3">
        <v>665000</v>
      </c>
      <c r="M73" s="3">
        <v>103000</v>
      </c>
      <c r="N73" t="s">
        <v>31</v>
      </c>
      <c r="O73" t="s">
        <v>24</v>
      </c>
      <c r="P73">
        <v>180</v>
      </c>
    </row>
    <row r="74" spans="1:16" hidden="1" x14ac:dyDescent="0.35">
      <c r="A74" t="s">
        <v>157</v>
      </c>
      <c r="B74" s="2">
        <v>46126</v>
      </c>
      <c r="C74" t="s">
        <v>104</v>
      </c>
      <c r="D74" t="s">
        <v>105</v>
      </c>
      <c r="E74" t="s">
        <v>106</v>
      </c>
      <c r="F74" t="s">
        <v>76</v>
      </c>
      <c r="G74" t="s">
        <v>77</v>
      </c>
      <c r="H74" t="s">
        <v>50</v>
      </c>
      <c r="I74">
        <v>1</v>
      </c>
      <c r="J74" s="3">
        <v>54100</v>
      </c>
      <c r="K74" s="3">
        <v>66300</v>
      </c>
      <c r="L74" s="3">
        <v>66300</v>
      </c>
      <c r="M74" s="3">
        <v>12200</v>
      </c>
      <c r="N74" t="s">
        <v>31</v>
      </c>
      <c r="O74" t="s">
        <v>24</v>
      </c>
      <c r="P74">
        <v>90</v>
      </c>
    </row>
    <row r="75" spans="1:16" hidden="1" x14ac:dyDescent="0.35">
      <c r="A75" t="s">
        <v>158</v>
      </c>
      <c r="B75" s="2">
        <v>46054</v>
      </c>
      <c r="C75" t="s">
        <v>95</v>
      </c>
      <c r="D75" t="s">
        <v>96</v>
      </c>
      <c r="E75" t="s">
        <v>19</v>
      </c>
      <c r="F75" t="s">
        <v>28</v>
      </c>
      <c r="G75" t="s">
        <v>77</v>
      </c>
      <c r="H75" t="s">
        <v>50</v>
      </c>
      <c r="I75">
        <v>1</v>
      </c>
      <c r="J75" s="3">
        <v>222300</v>
      </c>
      <c r="K75" s="3">
        <v>280500</v>
      </c>
      <c r="L75" s="3">
        <v>280500</v>
      </c>
      <c r="M75" s="3">
        <v>58200</v>
      </c>
      <c r="N75" t="s">
        <v>37</v>
      </c>
      <c r="O75" t="s">
        <v>24</v>
      </c>
      <c r="P75">
        <v>180</v>
      </c>
    </row>
    <row r="76" spans="1:16" hidden="1" x14ac:dyDescent="0.35">
      <c r="A76" t="s">
        <v>159</v>
      </c>
      <c r="B76" s="2">
        <v>46201</v>
      </c>
      <c r="C76" t="s">
        <v>17</v>
      </c>
      <c r="D76" t="s">
        <v>18</v>
      </c>
      <c r="E76" t="s">
        <v>19</v>
      </c>
      <c r="F76" t="s">
        <v>20</v>
      </c>
      <c r="G76" t="s">
        <v>29</v>
      </c>
      <c r="H76" t="s">
        <v>22</v>
      </c>
      <c r="I76">
        <v>1</v>
      </c>
      <c r="J76" s="3">
        <v>302200</v>
      </c>
      <c r="K76" s="3">
        <v>373200</v>
      </c>
      <c r="L76" s="3">
        <v>373200</v>
      </c>
      <c r="M76" s="3">
        <v>71000</v>
      </c>
      <c r="N76" t="s">
        <v>31</v>
      </c>
      <c r="O76" t="s">
        <v>45</v>
      </c>
      <c r="P76">
        <v>180</v>
      </c>
    </row>
    <row r="77" spans="1:16" hidden="1" x14ac:dyDescent="0.35">
      <c r="A77" t="s">
        <v>160</v>
      </c>
      <c r="B77" s="2">
        <v>46054</v>
      </c>
      <c r="C77" t="s">
        <v>87</v>
      </c>
      <c r="D77" t="s">
        <v>88</v>
      </c>
      <c r="E77" t="s">
        <v>75</v>
      </c>
      <c r="F77" t="s">
        <v>76</v>
      </c>
      <c r="G77" t="s">
        <v>29</v>
      </c>
      <c r="H77" t="s">
        <v>50</v>
      </c>
      <c r="I77">
        <v>-1</v>
      </c>
      <c r="J77" s="3">
        <v>30700</v>
      </c>
      <c r="K77" s="3">
        <v>34800</v>
      </c>
      <c r="L77" s="3">
        <v>-34800</v>
      </c>
      <c r="M77" s="3">
        <v>-4100</v>
      </c>
      <c r="N77" t="s">
        <v>31</v>
      </c>
      <c r="O77" t="s">
        <v>60</v>
      </c>
      <c r="P77">
        <v>90</v>
      </c>
    </row>
    <row r="78" spans="1:16" hidden="1" x14ac:dyDescent="0.35">
      <c r="A78" t="s">
        <v>161</v>
      </c>
      <c r="B78" s="2">
        <v>46142</v>
      </c>
      <c r="C78" t="s">
        <v>26</v>
      </c>
      <c r="D78" t="s">
        <v>27</v>
      </c>
      <c r="E78" t="s">
        <v>19</v>
      </c>
      <c r="F78" t="s">
        <v>28</v>
      </c>
      <c r="G78" t="s">
        <v>21</v>
      </c>
      <c r="H78" t="s">
        <v>30</v>
      </c>
      <c r="I78">
        <v>-2</v>
      </c>
      <c r="J78" s="3">
        <v>319100</v>
      </c>
      <c r="K78" s="3">
        <v>365000</v>
      </c>
      <c r="L78" s="3">
        <v>-730000</v>
      </c>
      <c r="M78" s="3">
        <v>-91800</v>
      </c>
      <c r="N78" t="s">
        <v>37</v>
      </c>
      <c r="O78" t="s">
        <v>60</v>
      </c>
      <c r="P78">
        <v>180</v>
      </c>
    </row>
    <row r="79" spans="1:16" hidden="1" x14ac:dyDescent="0.35">
      <c r="A79" t="s">
        <v>162</v>
      </c>
      <c r="B79" s="2">
        <v>46057</v>
      </c>
      <c r="C79" t="s">
        <v>42</v>
      </c>
      <c r="D79" t="s">
        <v>43</v>
      </c>
      <c r="E79" t="s">
        <v>44</v>
      </c>
      <c r="F79" t="s">
        <v>28</v>
      </c>
      <c r="G79" t="s">
        <v>39</v>
      </c>
      <c r="H79" t="s">
        <v>50</v>
      </c>
      <c r="I79">
        <v>-1</v>
      </c>
      <c r="J79" s="3">
        <v>264600</v>
      </c>
      <c r="K79" s="3">
        <v>348700</v>
      </c>
      <c r="L79" s="3">
        <v>-348700</v>
      </c>
      <c r="M79" s="3">
        <v>-84100</v>
      </c>
      <c r="N79" t="s">
        <v>40</v>
      </c>
      <c r="O79" t="s">
        <v>60</v>
      </c>
      <c r="P79">
        <v>180</v>
      </c>
    </row>
    <row r="80" spans="1:16" hidden="1" x14ac:dyDescent="0.35">
      <c r="A80" t="s">
        <v>163</v>
      </c>
      <c r="B80" s="2">
        <v>46107</v>
      </c>
      <c r="C80" t="s">
        <v>81</v>
      </c>
      <c r="D80" t="s">
        <v>82</v>
      </c>
      <c r="E80" t="s">
        <v>44</v>
      </c>
      <c r="F80" t="s">
        <v>83</v>
      </c>
      <c r="G80" t="s">
        <v>39</v>
      </c>
      <c r="H80" t="s">
        <v>30</v>
      </c>
      <c r="I80">
        <v>1</v>
      </c>
      <c r="J80" s="3">
        <v>242600</v>
      </c>
      <c r="K80" s="3">
        <v>279300</v>
      </c>
      <c r="L80" s="3">
        <v>279300</v>
      </c>
      <c r="M80" s="3">
        <v>36700</v>
      </c>
      <c r="N80" t="s">
        <v>37</v>
      </c>
      <c r="O80" t="s">
        <v>24</v>
      </c>
      <c r="P80">
        <v>180</v>
      </c>
    </row>
    <row r="81" spans="1:16" hidden="1" x14ac:dyDescent="0.35">
      <c r="A81" t="s">
        <v>164</v>
      </c>
      <c r="B81" s="2">
        <v>46259</v>
      </c>
      <c r="C81" t="s">
        <v>69</v>
      </c>
      <c r="D81" t="s">
        <v>70</v>
      </c>
      <c r="E81" t="s">
        <v>54</v>
      </c>
      <c r="F81" t="s">
        <v>64</v>
      </c>
      <c r="G81" t="s">
        <v>39</v>
      </c>
      <c r="H81" t="s">
        <v>50</v>
      </c>
      <c r="I81">
        <v>1</v>
      </c>
      <c r="J81" s="3">
        <v>20200</v>
      </c>
      <c r="K81" s="3">
        <v>22800</v>
      </c>
      <c r="L81" s="3">
        <v>22800</v>
      </c>
      <c r="M81" s="3">
        <v>2600</v>
      </c>
      <c r="N81" t="s">
        <v>31</v>
      </c>
      <c r="O81" t="s">
        <v>24</v>
      </c>
      <c r="P81">
        <v>30</v>
      </c>
    </row>
    <row r="82" spans="1:16" x14ac:dyDescent="0.35">
      <c r="A82" t="s">
        <v>165</v>
      </c>
      <c r="B82" s="2">
        <v>46142</v>
      </c>
      <c r="C82" t="s">
        <v>104</v>
      </c>
      <c r="D82" t="s">
        <v>105</v>
      </c>
      <c r="E82" t="s">
        <v>106</v>
      </c>
      <c r="F82" t="s">
        <v>76</v>
      </c>
      <c r="G82" t="s">
        <v>29</v>
      </c>
      <c r="H82" t="s">
        <v>35</v>
      </c>
      <c r="I82">
        <v>-1</v>
      </c>
      <c r="J82" s="3">
        <v>42500</v>
      </c>
      <c r="K82" s="3">
        <v>55500</v>
      </c>
      <c r="L82" s="3">
        <v>-55500</v>
      </c>
      <c r="M82" s="3">
        <v>-13000</v>
      </c>
      <c r="N82" t="s">
        <v>40</v>
      </c>
      <c r="O82" t="s">
        <v>60</v>
      </c>
      <c r="P82">
        <v>90</v>
      </c>
    </row>
    <row r="83" spans="1:16" hidden="1" x14ac:dyDescent="0.35">
      <c r="A83" t="s">
        <v>166</v>
      </c>
      <c r="B83" s="2">
        <v>46174</v>
      </c>
      <c r="C83" t="s">
        <v>26</v>
      </c>
      <c r="D83" t="s">
        <v>27</v>
      </c>
      <c r="E83" t="s">
        <v>19</v>
      </c>
      <c r="F83" t="s">
        <v>28</v>
      </c>
      <c r="G83" t="s">
        <v>21</v>
      </c>
      <c r="H83" t="s">
        <v>22</v>
      </c>
      <c r="I83">
        <v>-2</v>
      </c>
      <c r="J83" s="3">
        <v>188300</v>
      </c>
      <c r="K83" s="3">
        <v>240700</v>
      </c>
      <c r="L83" s="3">
        <v>-481400</v>
      </c>
      <c r="M83" s="3">
        <v>-104800</v>
      </c>
      <c r="N83" t="s">
        <v>37</v>
      </c>
      <c r="O83" t="s">
        <v>60</v>
      </c>
      <c r="P83">
        <v>180</v>
      </c>
    </row>
    <row r="84" spans="1:16" hidden="1" x14ac:dyDescent="0.35">
      <c r="A84" t="s">
        <v>167</v>
      </c>
      <c r="B84" s="2">
        <v>46251</v>
      </c>
      <c r="C84" t="s">
        <v>42</v>
      </c>
      <c r="D84" t="s">
        <v>43</v>
      </c>
      <c r="E84" t="s">
        <v>44</v>
      </c>
      <c r="F84" t="s">
        <v>28</v>
      </c>
      <c r="G84" t="s">
        <v>39</v>
      </c>
      <c r="H84" t="s">
        <v>22</v>
      </c>
      <c r="I84">
        <v>1</v>
      </c>
      <c r="J84" s="3">
        <v>247000</v>
      </c>
      <c r="K84" s="3">
        <v>323200</v>
      </c>
      <c r="L84" s="3">
        <v>323200</v>
      </c>
      <c r="M84" s="3">
        <v>76200</v>
      </c>
      <c r="N84" t="s">
        <v>37</v>
      </c>
      <c r="O84" t="s">
        <v>45</v>
      </c>
      <c r="P84">
        <v>180</v>
      </c>
    </row>
    <row r="85" spans="1:16" hidden="1" x14ac:dyDescent="0.35">
      <c r="A85" t="s">
        <v>168</v>
      </c>
      <c r="B85" s="2">
        <v>46037</v>
      </c>
      <c r="C85" t="s">
        <v>57</v>
      </c>
      <c r="D85" t="s">
        <v>58</v>
      </c>
      <c r="E85" t="s">
        <v>49</v>
      </c>
      <c r="F85" t="s">
        <v>59</v>
      </c>
      <c r="G85" t="s">
        <v>77</v>
      </c>
      <c r="H85" t="s">
        <v>22</v>
      </c>
      <c r="I85">
        <v>-1</v>
      </c>
      <c r="J85" s="3">
        <v>98200</v>
      </c>
      <c r="K85" s="3">
        <v>110500</v>
      </c>
      <c r="L85" s="3">
        <v>-110500</v>
      </c>
      <c r="M85" s="3">
        <v>-12300</v>
      </c>
      <c r="N85" t="s">
        <v>40</v>
      </c>
      <c r="O85" t="s">
        <v>60</v>
      </c>
      <c r="P85">
        <v>90</v>
      </c>
    </row>
    <row r="86" spans="1:16" hidden="1" x14ac:dyDescent="0.35">
      <c r="A86" t="s">
        <v>169</v>
      </c>
      <c r="B86" s="2">
        <v>46250</v>
      </c>
      <c r="C86" t="s">
        <v>87</v>
      </c>
      <c r="D86" t="s">
        <v>88</v>
      </c>
      <c r="E86" t="s">
        <v>75</v>
      </c>
      <c r="F86" t="s">
        <v>76</v>
      </c>
      <c r="G86" t="s">
        <v>21</v>
      </c>
      <c r="H86" t="s">
        <v>22</v>
      </c>
      <c r="I86">
        <v>-1</v>
      </c>
      <c r="J86" s="3">
        <v>50900</v>
      </c>
      <c r="K86" s="3">
        <v>61500</v>
      </c>
      <c r="L86" s="3">
        <v>-61500</v>
      </c>
      <c r="M86" s="3">
        <v>-10600</v>
      </c>
      <c r="N86" t="s">
        <v>37</v>
      </c>
      <c r="O86" t="s">
        <v>60</v>
      </c>
      <c r="P86">
        <v>90</v>
      </c>
    </row>
    <row r="87" spans="1:16" hidden="1" x14ac:dyDescent="0.35">
      <c r="A87" t="s">
        <v>170</v>
      </c>
      <c r="B87" s="2">
        <v>46195</v>
      </c>
      <c r="C87" t="s">
        <v>47</v>
      </c>
      <c r="D87" t="s">
        <v>48</v>
      </c>
      <c r="E87" t="s">
        <v>49</v>
      </c>
      <c r="F87" t="s">
        <v>20</v>
      </c>
      <c r="G87" t="s">
        <v>21</v>
      </c>
      <c r="H87" t="s">
        <v>30</v>
      </c>
      <c r="I87">
        <v>1</v>
      </c>
      <c r="J87" s="3">
        <v>87500</v>
      </c>
      <c r="K87" s="3">
        <v>103600</v>
      </c>
      <c r="L87" s="3">
        <v>103600</v>
      </c>
      <c r="M87" s="3">
        <v>16100</v>
      </c>
      <c r="N87" t="s">
        <v>31</v>
      </c>
      <c r="O87" t="s">
        <v>24</v>
      </c>
      <c r="P87">
        <v>90</v>
      </c>
    </row>
    <row r="88" spans="1:16" hidden="1" x14ac:dyDescent="0.35">
      <c r="A88" t="s">
        <v>171</v>
      </c>
      <c r="B88" s="2">
        <v>46156</v>
      </c>
      <c r="C88" t="s">
        <v>52</v>
      </c>
      <c r="D88" t="s">
        <v>53</v>
      </c>
      <c r="E88" t="s">
        <v>54</v>
      </c>
      <c r="F88" t="s">
        <v>55</v>
      </c>
      <c r="G88" t="s">
        <v>77</v>
      </c>
      <c r="H88" t="s">
        <v>22</v>
      </c>
      <c r="I88">
        <v>1</v>
      </c>
      <c r="J88" s="3">
        <v>29800</v>
      </c>
      <c r="K88" s="3">
        <v>36700</v>
      </c>
      <c r="L88" s="3">
        <v>36700</v>
      </c>
      <c r="M88" s="3">
        <v>6900</v>
      </c>
      <c r="N88" t="s">
        <v>37</v>
      </c>
      <c r="O88" t="s">
        <v>24</v>
      </c>
      <c r="P88">
        <v>30</v>
      </c>
    </row>
    <row r="89" spans="1:16" hidden="1" x14ac:dyDescent="0.35">
      <c r="A89" t="s">
        <v>172</v>
      </c>
      <c r="B89" s="2">
        <v>46238</v>
      </c>
      <c r="C89" t="s">
        <v>73</v>
      </c>
      <c r="D89" t="s">
        <v>74</v>
      </c>
      <c r="E89" t="s">
        <v>75</v>
      </c>
      <c r="F89" t="s">
        <v>76</v>
      </c>
      <c r="G89" t="s">
        <v>39</v>
      </c>
      <c r="H89" t="s">
        <v>50</v>
      </c>
      <c r="I89">
        <v>3</v>
      </c>
      <c r="J89" s="3">
        <v>66200</v>
      </c>
      <c r="K89" s="3">
        <v>74200</v>
      </c>
      <c r="L89" s="3">
        <v>222600</v>
      </c>
      <c r="M89" s="3">
        <v>24000</v>
      </c>
      <c r="N89" t="s">
        <v>31</v>
      </c>
      <c r="O89" t="s">
        <v>45</v>
      </c>
      <c r="P89">
        <v>90</v>
      </c>
    </row>
    <row r="90" spans="1:16" x14ac:dyDescent="0.35">
      <c r="A90" t="s">
        <v>173</v>
      </c>
      <c r="B90" s="2">
        <v>46163</v>
      </c>
      <c r="C90" t="s">
        <v>69</v>
      </c>
      <c r="D90" t="s">
        <v>70</v>
      </c>
      <c r="E90" t="s">
        <v>75</v>
      </c>
      <c r="F90" t="s">
        <v>64</v>
      </c>
      <c r="G90" t="s">
        <v>29</v>
      </c>
      <c r="H90" t="s">
        <v>35</v>
      </c>
      <c r="I90">
        <v>2</v>
      </c>
      <c r="J90" s="3">
        <v>28200</v>
      </c>
      <c r="K90" s="3">
        <v>35100</v>
      </c>
      <c r="L90" s="3">
        <v>70200</v>
      </c>
      <c r="M90" s="3">
        <v>13800</v>
      </c>
      <c r="N90" t="s">
        <v>37</v>
      </c>
      <c r="O90" t="s">
        <v>24</v>
      </c>
      <c r="P90">
        <v>30</v>
      </c>
    </row>
    <row r="91" spans="1:16" hidden="1" x14ac:dyDescent="0.35">
      <c r="A91" t="s">
        <v>174</v>
      </c>
      <c r="B91" s="2">
        <v>46108</v>
      </c>
      <c r="C91" t="s">
        <v>87</v>
      </c>
      <c r="D91" t="s">
        <v>88</v>
      </c>
      <c r="E91" t="s">
        <v>75</v>
      </c>
      <c r="F91" t="s">
        <v>76</v>
      </c>
      <c r="G91" t="s">
        <v>77</v>
      </c>
      <c r="H91" t="s">
        <v>22</v>
      </c>
      <c r="I91">
        <v>2</v>
      </c>
      <c r="J91" s="3">
        <v>31100</v>
      </c>
      <c r="K91" s="3">
        <v>40900</v>
      </c>
      <c r="L91" s="3">
        <v>81800</v>
      </c>
      <c r="M91" s="3">
        <v>19600</v>
      </c>
      <c r="N91" t="s">
        <v>37</v>
      </c>
      <c r="O91" t="s">
        <v>24</v>
      </c>
      <c r="P91">
        <v>90</v>
      </c>
    </row>
    <row r="92" spans="1:16" x14ac:dyDescent="0.35">
      <c r="A92" t="s">
        <v>175</v>
      </c>
      <c r="B92" s="2">
        <v>46105</v>
      </c>
      <c r="C92" t="s">
        <v>26</v>
      </c>
      <c r="D92" t="s">
        <v>27</v>
      </c>
      <c r="E92" t="s">
        <v>19</v>
      </c>
      <c r="F92" t="s">
        <v>28</v>
      </c>
      <c r="G92" t="s">
        <v>21</v>
      </c>
      <c r="H92" t="s">
        <v>35</v>
      </c>
      <c r="I92">
        <v>1</v>
      </c>
      <c r="J92" s="3">
        <v>211500</v>
      </c>
      <c r="K92" s="3">
        <v>272500</v>
      </c>
      <c r="L92" s="3">
        <v>272500</v>
      </c>
      <c r="M92" s="3">
        <v>61000</v>
      </c>
      <c r="N92" t="s">
        <v>31</v>
      </c>
      <c r="O92" t="s">
        <v>24</v>
      </c>
      <c r="P92">
        <v>180</v>
      </c>
    </row>
    <row r="93" spans="1:16" hidden="1" x14ac:dyDescent="0.35">
      <c r="A93" t="s">
        <v>176</v>
      </c>
      <c r="B93" s="2">
        <v>46101</v>
      </c>
      <c r="C93" t="s">
        <v>119</v>
      </c>
      <c r="D93" t="s">
        <v>120</v>
      </c>
      <c r="E93" t="s">
        <v>54</v>
      </c>
      <c r="F93" t="s">
        <v>83</v>
      </c>
      <c r="G93" t="s">
        <v>21</v>
      </c>
      <c r="H93" t="s">
        <v>50</v>
      </c>
      <c r="I93">
        <v>-1</v>
      </c>
      <c r="J93" s="3">
        <v>30400</v>
      </c>
      <c r="K93" s="3">
        <v>40000</v>
      </c>
      <c r="L93" s="3">
        <v>-40000</v>
      </c>
      <c r="M93" s="3">
        <v>-9600</v>
      </c>
      <c r="N93" t="s">
        <v>40</v>
      </c>
      <c r="O93" t="s">
        <v>60</v>
      </c>
      <c r="P93">
        <v>30</v>
      </c>
    </row>
    <row r="94" spans="1:16" x14ac:dyDescent="0.35">
      <c r="A94" t="s">
        <v>177</v>
      </c>
      <c r="B94" s="2">
        <v>46163</v>
      </c>
      <c r="C94" t="s">
        <v>26</v>
      </c>
      <c r="D94" t="s">
        <v>27</v>
      </c>
      <c r="E94" t="s">
        <v>19</v>
      </c>
      <c r="F94" t="s">
        <v>28</v>
      </c>
      <c r="G94" t="s">
        <v>39</v>
      </c>
      <c r="H94" t="s">
        <v>35</v>
      </c>
      <c r="I94">
        <v>-1</v>
      </c>
      <c r="J94" s="3">
        <v>218700</v>
      </c>
      <c r="K94" s="3">
        <v>279500</v>
      </c>
      <c r="L94" s="3">
        <v>-279500</v>
      </c>
      <c r="M94" s="3">
        <v>-60800</v>
      </c>
      <c r="N94" t="s">
        <v>31</v>
      </c>
      <c r="O94" t="s">
        <v>60</v>
      </c>
      <c r="P94">
        <v>180</v>
      </c>
    </row>
    <row r="95" spans="1:16" x14ac:dyDescent="0.35">
      <c r="A95" t="s">
        <v>178</v>
      </c>
      <c r="B95" s="2">
        <v>46274</v>
      </c>
      <c r="C95" t="s">
        <v>104</v>
      </c>
      <c r="D95" t="s">
        <v>105</v>
      </c>
      <c r="E95" t="s">
        <v>106</v>
      </c>
      <c r="F95" t="s">
        <v>76</v>
      </c>
      <c r="G95" t="s">
        <v>77</v>
      </c>
      <c r="H95" t="s">
        <v>35</v>
      </c>
      <c r="I95">
        <v>3</v>
      </c>
      <c r="J95" s="3">
        <v>39500</v>
      </c>
      <c r="K95" s="3">
        <v>49500</v>
      </c>
      <c r="L95" s="3">
        <v>148500</v>
      </c>
      <c r="M95" s="3">
        <v>30000</v>
      </c>
      <c r="N95" t="s">
        <v>37</v>
      </c>
      <c r="O95" t="s">
        <v>45</v>
      </c>
      <c r="P95">
        <v>90</v>
      </c>
    </row>
    <row r="96" spans="1:16" hidden="1" x14ac:dyDescent="0.35">
      <c r="A96" t="s">
        <v>179</v>
      </c>
      <c r="B96" s="2">
        <v>46223</v>
      </c>
      <c r="C96" t="s">
        <v>62</v>
      </c>
      <c r="D96" t="s">
        <v>63</v>
      </c>
      <c r="E96" t="s">
        <v>54</v>
      </c>
      <c r="F96" t="s">
        <v>64</v>
      </c>
      <c r="G96" t="s">
        <v>29</v>
      </c>
      <c r="H96" t="s">
        <v>30</v>
      </c>
      <c r="I96">
        <v>5</v>
      </c>
      <c r="J96" s="3">
        <v>33100</v>
      </c>
      <c r="K96" s="3">
        <v>42800</v>
      </c>
      <c r="L96" s="3">
        <v>214000</v>
      </c>
      <c r="M96" s="3">
        <v>48500</v>
      </c>
      <c r="N96" t="s">
        <v>23</v>
      </c>
      <c r="O96" t="s">
        <v>24</v>
      </c>
      <c r="P96">
        <v>30</v>
      </c>
    </row>
    <row r="97" spans="1:16" hidden="1" x14ac:dyDescent="0.35">
      <c r="A97" t="s">
        <v>180</v>
      </c>
      <c r="B97" s="2">
        <v>46104</v>
      </c>
      <c r="C97" t="s">
        <v>57</v>
      </c>
      <c r="D97" t="s">
        <v>58</v>
      </c>
      <c r="E97" t="s">
        <v>49</v>
      </c>
      <c r="F97" t="s">
        <v>59</v>
      </c>
      <c r="G97" t="s">
        <v>21</v>
      </c>
      <c r="H97" t="s">
        <v>22</v>
      </c>
      <c r="I97">
        <v>3</v>
      </c>
      <c r="J97" s="3">
        <v>106000</v>
      </c>
      <c r="K97" s="3">
        <v>133700</v>
      </c>
      <c r="L97" s="3">
        <v>401100</v>
      </c>
      <c r="M97" s="3">
        <v>83100</v>
      </c>
      <c r="N97" t="s">
        <v>40</v>
      </c>
      <c r="O97" t="s">
        <v>45</v>
      </c>
      <c r="P97">
        <v>90</v>
      </c>
    </row>
    <row r="98" spans="1:16" hidden="1" x14ac:dyDescent="0.35">
      <c r="A98" t="s">
        <v>181</v>
      </c>
      <c r="B98" s="2">
        <v>46078</v>
      </c>
      <c r="C98" t="s">
        <v>73</v>
      </c>
      <c r="D98" t="s">
        <v>74</v>
      </c>
      <c r="E98" t="s">
        <v>75</v>
      </c>
      <c r="F98" t="s">
        <v>76</v>
      </c>
      <c r="G98" t="s">
        <v>21</v>
      </c>
      <c r="H98" t="s">
        <v>22</v>
      </c>
      <c r="I98">
        <v>1</v>
      </c>
      <c r="J98" s="3">
        <v>73300</v>
      </c>
      <c r="K98" s="3">
        <v>87000</v>
      </c>
      <c r="L98" s="3">
        <v>87000</v>
      </c>
      <c r="M98" s="3">
        <v>13700</v>
      </c>
      <c r="N98" t="s">
        <v>40</v>
      </c>
      <c r="O98" t="s">
        <v>45</v>
      </c>
      <c r="P98">
        <v>90</v>
      </c>
    </row>
    <row r="99" spans="1:16" hidden="1" x14ac:dyDescent="0.35">
      <c r="A99" t="s">
        <v>182</v>
      </c>
      <c r="B99" s="2">
        <v>46200</v>
      </c>
      <c r="C99" t="s">
        <v>119</v>
      </c>
      <c r="D99" t="s">
        <v>120</v>
      </c>
      <c r="E99" t="s">
        <v>54</v>
      </c>
      <c r="F99" t="s">
        <v>83</v>
      </c>
      <c r="G99" t="s">
        <v>21</v>
      </c>
      <c r="H99" t="s">
        <v>22</v>
      </c>
      <c r="I99">
        <v>1</v>
      </c>
      <c r="J99" s="3">
        <v>31400</v>
      </c>
      <c r="K99" s="3">
        <v>41300</v>
      </c>
      <c r="L99" s="3">
        <v>41300</v>
      </c>
      <c r="M99" s="3">
        <v>9900</v>
      </c>
      <c r="N99" t="s">
        <v>31</v>
      </c>
      <c r="O99" t="s">
        <v>24</v>
      </c>
      <c r="P99">
        <v>30</v>
      </c>
    </row>
    <row r="100" spans="1:16" hidden="1" x14ac:dyDescent="0.35">
      <c r="A100" t="s">
        <v>183</v>
      </c>
      <c r="B100" s="2">
        <v>46045</v>
      </c>
      <c r="C100" t="s">
        <v>134</v>
      </c>
      <c r="D100" t="s">
        <v>135</v>
      </c>
      <c r="E100" t="s">
        <v>106</v>
      </c>
      <c r="F100" t="s">
        <v>76</v>
      </c>
      <c r="G100" t="s">
        <v>39</v>
      </c>
      <c r="H100" t="s">
        <v>50</v>
      </c>
      <c r="I100">
        <v>2</v>
      </c>
      <c r="J100" s="3">
        <v>32100</v>
      </c>
      <c r="K100" s="3">
        <v>38000</v>
      </c>
      <c r="L100" s="3">
        <v>76000</v>
      </c>
      <c r="M100" s="3">
        <v>11800</v>
      </c>
      <c r="N100" t="s">
        <v>31</v>
      </c>
      <c r="O100" t="s">
        <v>45</v>
      </c>
      <c r="P100">
        <v>90</v>
      </c>
    </row>
    <row r="101" spans="1:16" x14ac:dyDescent="0.35">
      <c r="A101" t="s">
        <v>184</v>
      </c>
      <c r="B101" s="2">
        <v>46254</v>
      </c>
      <c r="C101" t="s">
        <v>66</v>
      </c>
      <c r="D101" t="s">
        <v>67</v>
      </c>
      <c r="E101" t="s">
        <v>44</v>
      </c>
      <c r="F101" t="s">
        <v>20</v>
      </c>
      <c r="G101" t="s">
        <v>29</v>
      </c>
      <c r="H101" t="s">
        <v>35</v>
      </c>
      <c r="I101">
        <v>1</v>
      </c>
      <c r="J101" s="3">
        <v>252100</v>
      </c>
      <c r="K101" s="3">
        <v>304200</v>
      </c>
      <c r="L101" s="3">
        <v>304200</v>
      </c>
      <c r="M101" s="3">
        <v>52100</v>
      </c>
      <c r="N101" t="s">
        <v>23</v>
      </c>
      <c r="O101" t="s">
        <v>24</v>
      </c>
      <c r="P101">
        <v>180</v>
      </c>
    </row>
    <row r="102" spans="1:16" hidden="1" x14ac:dyDescent="0.35">
      <c r="A102" t="s">
        <v>185</v>
      </c>
      <c r="B102" s="2">
        <v>46101</v>
      </c>
      <c r="C102" t="s">
        <v>101</v>
      </c>
      <c r="D102" t="s">
        <v>102</v>
      </c>
      <c r="E102" t="s">
        <v>19</v>
      </c>
      <c r="F102" t="s">
        <v>83</v>
      </c>
      <c r="G102" t="s">
        <v>29</v>
      </c>
      <c r="H102" t="s">
        <v>30</v>
      </c>
      <c r="I102">
        <v>1</v>
      </c>
      <c r="J102" s="3">
        <v>225400</v>
      </c>
      <c r="K102" s="3">
        <v>255000</v>
      </c>
      <c r="L102" s="3">
        <v>255000</v>
      </c>
      <c r="M102" s="3">
        <v>29600</v>
      </c>
      <c r="N102" t="s">
        <v>40</v>
      </c>
      <c r="O102" t="s">
        <v>45</v>
      </c>
      <c r="P102">
        <v>180</v>
      </c>
    </row>
    <row r="103" spans="1:16" hidden="1" x14ac:dyDescent="0.35">
      <c r="A103" t="s">
        <v>186</v>
      </c>
      <c r="B103" s="2">
        <v>46281</v>
      </c>
      <c r="C103" t="s">
        <v>95</v>
      </c>
      <c r="D103" t="s">
        <v>96</v>
      </c>
      <c r="E103" t="s">
        <v>19</v>
      </c>
      <c r="F103" t="s">
        <v>28</v>
      </c>
      <c r="G103" t="s">
        <v>29</v>
      </c>
      <c r="H103" t="s">
        <v>50</v>
      </c>
      <c r="I103">
        <v>1</v>
      </c>
      <c r="J103" s="3">
        <v>204500</v>
      </c>
      <c r="K103" s="3">
        <v>254000</v>
      </c>
      <c r="L103" s="3">
        <v>254000</v>
      </c>
      <c r="M103" s="3">
        <v>49500</v>
      </c>
      <c r="N103" t="s">
        <v>37</v>
      </c>
      <c r="O103" t="s">
        <v>24</v>
      </c>
      <c r="P103">
        <v>180</v>
      </c>
    </row>
    <row r="104" spans="1:16" hidden="1" x14ac:dyDescent="0.35">
      <c r="A104" t="s">
        <v>187</v>
      </c>
      <c r="B104" s="2">
        <v>46174</v>
      </c>
      <c r="C104" t="s">
        <v>81</v>
      </c>
      <c r="D104" t="s">
        <v>82</v>
      </c>
      <c r="E104" t="s">
        <v>44</v>
      </c>
      <c r="F104" t="s">
        <v>83</v>
      </c>
      <c r="G104" t="s">
        <v>29</v>
      </c>
      <c r="H104" t="s">
        <v>22</v>
      </c>
      <c r="I104">
        <v>3</v>
      </c>
      <c r="J104" s="3">
        <v>220600</v>
      </c>
      <c r="K104" s="3">
        <v>276500</v>
      </c>
      <c r="L104" s="3">
        <v>829500</v>
      </c>
      <c r="M104" s="3">
        <v>167700</v>
      </c>
      <c r="N104" t="s">
        <v>37</v>
      </c>
      <c r="O104" t="s">
        <v>45</v>
      </c>
      <c r="P104">
        <v>180</v>
      </c>
    </row>
    <row r="105" spans="1:16" hidden="1" x14ac:dyDescent="0.35">
      <c r="A105" t="s">
        <v>188</v>
      </c>
      <c r="B105" s="2">
        <v>46260</v>
      </c>
      <c r="C105" t="s">
        <v>47</v>
      </c>
      <c r="D105" t="s">
        <v>48</v>
      </c>
      <c r="E105" t="s">
        <v>49</v>
      </c>
      <c r="F105" t="s">
        <v>20</v>
      </c>
      <c r="G105" t="s">
        <v>77</v>
      </c>
      <c r="H105" t="s">
        <v>50</v>
      </c>
      <c r="I105">
        <v>4</v>
      </c>
      <c r="J105" s="3">
        <v>119300</v>
      </c>
      <c r="K105" s="3">
        <v>140800</v>
      </c>
      <c r="L105" s="3">
        <v>563200</v>
      </c>
      <c r="M105" s="3">
        <v>86000</v>
      </c>
      <c r="N105" t="s">
        <v>37</v>
      </c>
      <c r="O105" t="s">
        <v>24</v>
      </c>
      <c r="P105">
        <v>90</v>
      </c>
    </row>
    <row r="106" spans="1:16" hidden="1" x14ac:dyDescent="0.35">
      <c r="A106" t="s">
        <v>189</v>
      </c>
      <c r="B106" s="2">
        <v>46178</v>
      </c>
      <c r="C106" t="s">
        <v>87</v>
      </c>
      <c r="D106" t="s">
        <v>88</v>
      </c>
      <c r="E106" t="s">
        <v>75</v>
      </c>
      <c r="F106" t="s">
        <v>76</v>
      </c>
      <c r="G106" t="s">
        <v>39</v>
      </c>
      <c r="H106" t="s">
        <v>30</v>
      </c>
      <c r="I106">
        <v>1</v>
      </c>
      <c r="J106" s="3">
        <v>30300</v>
      </c>
      <c r="K106" s="3">
        <v>36200</v>
      </c>
      <c r="L106" s="3">
        <v>36200</v>
      </c>
      <c r="M106" s="3">
        <v>5900</v>
      </c>
      <c r="N106" t="s">
        <v>31</v>
      </c>
      <c r="O106" t="s">
        <v>24</v>
      </c>
      <c r="P106">
        <v>90</v>
      </c>
    </row>
    <row r="107" spans="1:16" hidden="1" x14ac:dyDescent="0.35">
      <c r="A107" t="s">
        <v>190</v>
      </c>
      <c r="B107" s="2">
        <v>46281</v>
      </c>
      <c r="C107" t="s">
        <v>33</v>
      </c>
      <c r="D107" t="s">
        <v>34</v>
      </c>
      <c r="E107" t="s">
        <v>19</v>
      </c>
      <c r="F107" t="s">
        <v>20</v>
      </c>
      <c r="G107" t="s">
        <v>77</v>
      </c>
      <c r="H107" t="s">
        <v>50</v>
      </c>
      <c r="I107">
        <v>2</v>
      </c>
      <c r="J107" s="3">
        <v>259200</v>
      </c>
      <c r="K107" s="3">
        <v>325900</v>
      </c>
      <c r="L107" s="3">
        <v>651800</v>
      </c>
      <c r="M107" s="3">
        <v>133400</v>
      </c>
      <c r="N107" t="s">
        <v>31</v>
      </c>
      <c r="O107" t="s">
        <v>24</v>
      </c>
      <c r="P107">
        <v>180</v>
      </c>
    </row>
    <row r="108" spans="1:16" x14ac:dyDescent="0.35">
      <c r="A108" t="s">
        <v>191</v>
      </c>
      <c r="B108" s="2">
        <v>46076</v>
      </c>
      <c r="C108" t="s">
        <v>66</v>
      </c>
      <c r="D108" t="s">
        <v>67</v>
      </c>
      <c r="E108" t="s">
        <v>44</v>
      </c>
      <c r="F108" t="s">
        <v>20</v>
      </c>
      <c r="G108" t="s">
        <v>39</v>
      </c>
      <c r="H108" t="s">
        <v>35</v>
      </c>
      <c r="I108">
        <v>2</v>
      </c>
      <c r="J108" s="3">
        <v>240000</v>
      </c>
      <c r="K108" s="3">
        <v>298600</v>
      </c>
      <c r="L108" s="3">
        <v>597200</v>
      </c>
      <c r="M108" s="3">
        <v>117200</v>
      </c>
      <c r="N108" t="s">
        <v>37</v>
      </c>
      <c r="O108" t="s">
        <v>24</v>
      </c>
      <c r="P108">
        <v>180</v>
      </c>
    </row>
    <row r="109" spans="1:16" hidden="1" x14ac:dyDescent="0.35">
      <c r="A109" t="s">
        <v>192</v>
      </c>
      <c r="B109" s="2">
        <v>46194</v>
      </c>
      <c r="C109" t="s">
        <v>101</v>
      </c>
      <c r="D109" t="s">
        <v>102</v>
      </c>
      <c r="E109" t="s">
        <v>19</v>
      </c>
      <c r="F109" t="s">
        <v>83</v>
      </c>
      <c r="G109" t="s">
        <v>21</v>
      </c>
      <c r="H109" t="s">
        <v>50</v>
      </c>
      <c r="I109">
        <v>1</v>
      </c>
      <c r="J109" s="3">
        <v>261100</v>
      </c>
      <c r="K109" s="3">
        <v>330700</v>
      </c>
      <c r="L109" s="3">
        <v>330700</v>
      </c>
      <c r="M109" s="3">
        <v>69600</v>
      </c>
      <c r="N109" t="s">
        <v>40</v>
      </c>
      <c r="O109" t="s">
        <v>24</v>
      </c>
      <c r="P109">
        <v>180</v>
      </c>
    </row>
    <row r="110" spans="1:16" x14ac:dyDescent="0.35">
      <c r="A110" t="s">
        <v>193</v>
      </c>
      <c r="B110" s="2">
        <v>46166</v>
      </c>
      <c r="C110" t="s">
        <v>111</v>
      </c>
      <c r="D110" t="s">
        <v>112</v>
      </c>
      <c r="E110" t="s">
        <v>19</v>
      </c>
      <c r="F110" t="s">
        <v>83</v>
      </c>
      <c r="G110" t="s">
        <v>29</v>
      </c>
      <c r="H110" t="s">
        <v>35</v>
      </c>
      <c r="I110">
        <v>-1</v>
      </c>
      <c r="J110" s="3">
        <v>290100</v>
      </c>
      <c r="K110" s="3">
        <v>375800</v>
      </c>
      <c r="L110" s="3">
        <v>-375800</v>
      </c>
      <c r="M110" s="3">
        <v>-85700</v>
      </c>
      <c r="N110" t="s">
        <v>37</v>
      </c>
      <c r="O110" t="s">
        <v>60</v>
      </c>
      <c r="P110">
        <v>180</v>
      </c>
    </row>
    <row r="111" spans="1:16" hidden="1" x14ac:dyDescent="0.35">
      <c r="A111" t="s">
        <v>194</v>
      </c>
      <c r="B111" s="2">
        <v>46099</v>
      </c>
      <c r="C111" t="s">
        <v>42</v>
      </c>
      <c r="D111" t="s">
        <v>43</v>
      </c>
      <c r="E111" t="s">
        <v>44</v>
      </c>
      <c r="F111" t="s">
        <v>28</v>
      </c>
      <c r="G111" t="s">
        <v>29</v>
      </c>
      <c r="H111" t="s">
        <v>30</v>
      </c>
      <c r="I111">
        <v>1</v>
      </c>
      <c r="J111" s="3">
        <v>252100</v>
      </c>
      <c r="K111" s="3">
        <v>299400</v>
      </c>
      <c r="L111" s="3">
        <v>299400</v>
      </c>
      <c r="M111" s="3">
        <v>47300</v>
      </c>
      <c r="N111" t="s">
        <v>31</v>
      </c>
      <c r="O111" t="s">
        <v>24</v>
      </c>
      <c r="P111">
        <v>180</v>
      </c>
    </row>
    <row r="112" spans="1:16" hidden="1" x14ac:dyDescent="0.35">
      <c r="A112" t="s">
        <v>195</v>
      </c>
      <c r="B112" s="2">
        <v>46215</v>
      </c>
      <c r="C112" t="s">
        <v>26</v>
      </c>
      <c r="D112" t="s">
        <v>27</v>
      </c>
      <c r="E112" t="s">
        <v>19</v>
      </c>
      <c r="F112" t="s">
        <v>28</v>
      </c>
      <c r="G112" t="s">
        <v>77</v>
      </c>
      <c r="H112" t="s">
        <v>30</v>
      </c>
      <c r="I112">
        <v>1</v>
      </c>
      <c r="J112" s="3">
        <v>290700</v>
      </c>
      <c r="K112" s="3">
        <v>326400</v>
      </c>
      <c r="L112" s="3">
        <v>326400</v>
      </c>
      <c r="M112" s="3">
        <v>35700</v>
      </c>
      <c r="N112" t="s">
        <v>31</v>
      </c>
      <c r="O112" t="s">
        <v>45</v>
      </c>
      <c r="P112">
        <v>180</v>
      </c>
    </row>
    <row r="113" spans="1:16" hidden="1" x14ac:dyDescent="0.35">
      <c r="A113" t="s">
        <v>196</v>
      </c>
      <c r="B113" s="2">
        <v>46194</v>
      </c>
      <c r="C113" t="s">
        <v>17</v>
      </c>
      <c r="D113" t="s">
        <v>18</v>
      </c>
      <c r="E113" t="s">
        <v>19</v>
      </c>
      <c r="F113" t="s">
        <v>20</v>
      </c>
      <c r="G113" t="s">
        <v>29</v>
      </c>
      <c r="H113" t="s">
        <v>22</v>
      </c>
      <c r="I113">
        <v>-2</v>
      </c>
      <c r="J113" s="3">
        <v>274500</v>
      </c>
      <c r="K113" s="3">
        <v>333300</v>
      </c>
      <c r="L113" s="3">
        <v>-666600</v>
      </c>
      <c r="M113" s="3">
        <v>-117600</v>
      </c>
      <c r="N113" t="s">
        <v>37</v>
      </c>
      <c r="O113" t="s">
        <v>60</v>
      </c>
      <c r="P113">
        <v>180</v>
      </c>
    </row>
    <row r="114" spans="1:16" hidden="1" x14ac:dyDescent="0.35">
      <c r="A114" t="s">
        <v>197</v>
      </c>
      <c r="B114" s="2">
        <v>46182</v>
      </c>
      <c r="C114" t="s">
        <v>42</v>
      </c>
      <c r="D114" t="s">
        <v>43</v>
      </c>
      <c r="E114" t="s">
        <v>44</v>
      </c>
      <c r="F114" t="s">
        <v>28</v>
      </c>
      <c r="G114" t="s">
        <v>21</v>
      </c>
      <c r="H114" t="s">
        <v>22</v>
      </c>
      <c r="I114">
        <v>1</v>
      </c>
      <c r="J114" s="3">
        <v>241400</v>
      </c>
      <c r="K114" s="3">
        <v>276000</v>
      </c>
      <c r="L114" s="3">
        <v>276000</v>
      </c>
      <c r="M114" s="3">
        <v>34600</v>
      </c>
      <c r="N114" t="s">
        <v>23</v>
      </c>
      <c r="O114" t="s">
        <v>24</v>
      </c>
      <c r="P114">
        <v>180</v>
      </c>
    </row>
    <row r="115" spans="1:16" hidden="1" x14ac:dyDescent="0.35">
      <c r="A115" t="s">
        <v>198</v>
      </c>
      <c r="B115" s="2">
        <v>46241</v>
      </c>
      <c r="C115" t="s">
        <v>66</v>
      </c>
      <c r="D115" t="s">
        <v>67</v>
      </c>
      <c r="E115" t="s">
        <v>44</v>
      </c>
      <c r="F115" t="s">
        <v>20</v>
      </c>
      <c r="G115" t="s">
        <v>29</v>
      </c>
      <c r="H115" t="s">
        <v>30</v>
      </c>
      <c r="I115">
        <v>-1</v>
      </c>
      <c r="J115" s="3">
        <v>267600</v>
      </c>
      <c r="K115" s="3">
        <v>307000</v>
      </c>
      <c r="L115" s="3">
        <v>-307000</v>
      </c>
      <c r="M115" s="3">
        <v>-39400</v>
      </c>
      <c r="N115" t="s">
        <v>23</v>
      </c>
      <c r="O115" t="s">
        <v>60</v>
      </c>
      <c r="P115">
        <v>180</v>
      </c>
    </row>
    <row r="116" spans="1:16" hidden="1" x14ac:dyDescent="0.35">
      <c r="A116" t="s">
        <v>199</v>
      </c>
      <c r="B116" s="2">
        <v>46138</v>
      </c>
      <c r="C116" t="s">
        <v>87</v>
      </c>
      <c r="D116" t="s">
        <v>88</v>
      </c>
      <c r="E116" t="s">
        <v>75</v>
      </c>
      <c r="F116" t="s">
        <v>76</v>
      </c>
      <c r="G116" t="s">
        <v>21</v>
      </c>
      <c r="H116" t="s">
        <v>30</v>
      </c>
      <c r="I116">
        <v>1</v>
      </c>
      <c r="J116" s="3">
        <v>55800</v>
      </c>
      <c r="K116" s="3">
        <v>73000</v>
      </c>
      <c r="L116" s="3">
        <v>73000</v>
      </c>
      <c r="M116" s="3">
        <v>17200</v>
      </c>
      <c r="N116" t="s">
        <v>40</v>
      </c>
      <c r="O116" t="s">
        <v>24</v>
      </c>
      <c r="P116">
        <v>90</v>
      </c>
    </row>
    <row r="117" spans="1:16" x14ac:dyDescent="0.35">
      <c r="A117" t="s">
        <v>200</v>
      </c>
      <c r="B117" s="2">
        <v>46058</v>
      </c>
      <c r="C117" t="s">
        <v>47</v>
      </c>
      <c r="D117" t="s">
        <v>48</v>
      </c>
      <c r="E117" t="s">
        <v>49</v>
      </c>
      <c r="F117" t="s">
        <v>20</v>
      </c>
      <c r="G117" t="s">
        <v>21</v>
      </c>
      <c r="H117" t="s">
        <v>35</v>
      </c>
      <c r="I117">
        <v>1</v>
      </c>
      <c r="J117" s="3">
        <v>70500</v>
      </c>
      <c r="K117" s="3">
        <v>88600</v>
      </c>
      <c r="L117" s="3">
        <v>88600</v>
      </c>
      <c r="M117" s="3">
        <v>18100</v>
      </c>
      <c r="N117" t="s">
        <v>40</v>
      </c>
      <c r="O117" t="s">
        <v>24</v>
      </c>
      <c r="P117">
        <v>90</v>
      </c>
    </row>
    <row r="118" spans="1:16" x14ac:dyDescent="0.35">
      <c r="A118" t="s">
        <v>201</v>
      </c>
      <c r="B118" s="2">
        <v>46037</v>
      </c>
      <c r="C118" t="s">
        <v>17</v>
      </c>
      <c r="D118" t="s">
        <v>18</v>
      </c>
      <c r="E118" t="s">
        <v>19</v>
      </c>
      <c r="F118" t="s">
        <v>20</v>
      </c>
      <c r="G118" t="s">
        <v>39</v>
      </c>
      <c r="H118" t="s">
        <v>35</v>
      </c>
      <c r="I118">
        <v>1</v>
      </c>
      <c r="J118" s="3">
        <v>312900</v>
      </c>
      <c r="K118" s="3">
        <v>402000</v>
      </c>
      <c r="L118" s="3">
        <v>402000</v>
      </c>
      <c r="M118" s="3">
        <v>89100</v>
      </c>
      <c r="N118" t="s">
        <v>40</v>
      </c>
      <c r="O118" t="s">
        <v>24</v>
      </c>
      <c r="P118">
        <v>180</v>
      </c>
    </row>
    <row r="119" spans="1:16" hidden="1" x14ac:dyDescent="0.35">
      <c r="A119" t="s">
        <v>202</v>
      </c>
      <c r="B119" s="2">
        <v>46133</v>
      </c>
      <c r="C119" t="s">
        <v>111</v>
      </c>
      <c r="D119" t="s">
        <v>112</v>
      </c>
      <c r="E119" t="s">
        <v>19</v>
      </c>
      <c r="F119" t="s">
        <v>83</v>
      </c>
      <c r="G119" t="s">
        <v>29</v>
      </c>
      <c r="H119" t="s">
        <v>50</v>
      </c>
      <c r="I119">
        <v>-3</v>
      </c>
      <c r="J119" s="3">
        <v>290200</v>
      </c>
      <c r="K119" s="3">
        <v>336900</v>
      </c>
      <c r="L119" s="3">
        <v>-1010700</v>
      </c>
      <c r="M119" s="3">
        <v>-140100</v>
      </c>
      <c r="N119" t="s">
        <v>31</v>
      </c>
      <c r="O119" t="s">
        <v>60</v>
      </c>
      <c r="P119">
        <v>180</v>
      </c>
    </row>
    <row r="120" spans="1:16" hidden="1" x14ac:dyDescent="0.35">
      <c r="A120" t="s">
        <v>203</v>
      </c>
      <c r="B120" s="2">
        <v>46093</v>
      </c>
      <c r="C120" t="s">
        <v>111</v>
      </c>
      <c r="D120" t="s">
        <v>112</v>
      </c>
      <c r="E120" t="s">
        <v>19</v>
      </c>
      <c r="F120" t="s">
        <v>83</v>
      </c>
      <c r="G120" t="s">
        <v>77</v>
      </c>
      <c r="H120" t="s">
        <v>50</v>
      </c>
      <c r="I120">
        <v>1</v>
      </c>
      <c r="J120" s="3">
        <v>290400</v>
      </c>
      <c r="K120" s="3">
        <v>359900</v>
      </c>
      <c r="L120" s="3">
        <v>359900</v>
      </c>
      <c r="M120" s="3">
        <v>69500</v>
      </c>
      <c r="N120" t="s">
        <v>23</v>
      </c>
      <c r="O120" t="s">
        <v>24</v>
      </c>
      <c r="P120">
        <v>180</v>
      </c>
    </row>
    <row r="121" spans="1:16" hidden="1" x14ac:dyDescent="0.35">
      <c r="A121" t="s">
        <v>204</v>
      </c>
      <c r="B121" s="2">
        <v>46192</v>
      </c>
      <c r="C121" t="s">
        <v>33</v>
      </c>
      <c r="D121" t="s">
        <v>34</v>
      </c>
      <c r="E121" t="s">
        <v>19</v>
      </c>
      <c r="F121" t="s">
        <v>20</v>
      </c>
      <c r="G121" t="s">
        <v>39</v>
      </c>
      <c r="H121" t="s">
        <v>50</v>
      </c>
      <c r="I121">
        <v>-2</v>
      </c>
      <c r="J121" s="3">
        <v>198500</v>
      </c>
      <c r="K121" s="3">
        <v>236500</v>
      </c>
      <c r="L121" s="3">
        <v>-473000</v>
      </c>
      <c r="M121" s="3">
        <v>-76000</v>
      </c>
      <c r="N121" t="s">
        <v>31</v>
      </c>
      <c r="O121" t="s">
        <v>60</v>
      </c>
      <c r="P121">
        <v>180</v>
      </c>
    </row>
    <row r="122" spans="1:16" x14ac:dyDescent="0.35">
      <c r="A122" t="s">
        <v>205</v>
      </c>
      <c r="B122" s="2">
        <v>46270</v>
      </c>
      <c r="C122" t="s">
        <v>101</v>
      </c>
      <c r="D122" t="s">
        <v>102</v>
      </c>
      <c r="E122" t="s">
        <v>19</v>
      </c>
      <c r="F122" t="s">
        <v>83</v>
      </c>
      <c r="G122" t="s">
        <v>21</v>
      </c>
      <c r="H122" t="s">
        <v>35</v>
      </c>
      <c r="I122">
        <v>1</v>
      </c>
      <c r="J122" s="3">
        <v>197700</v>
      </c>
      <c r="K122" s="3">
        <v>238100</v>
      </c>
      <c r="L122" s="3">
        <v>238100</v>
      </c>
      <c r="M122" s="3">
        <v>40400</v>
      </c>
      <c r="N122" t="s">
        <v>23</v>
      </c>
      <c r="O122" t="s">
        <v>24</v>
      </c>
      <c r="P122">
        <v>180</v>
      </c>
    </row>
    <row r="123" spans="1:16" hidden="1" x14ac:dyDescent="0.35">
      <c r="A123" t="s">
        <v>206</v>
      </c>
      <c r="B123" s="2">
        <v>46181</v>
      </c>
      <c r="C123" t="s">
        <v>62</v>
      </c>
      <c r="D123" t="s">
        <v>63</v>
      </c>
      <c r="E123" t="s">
        <v>54</v>
      </c>
      <c r="F123" t="s">
        <v>64</v>
      </c>
      <c r="G123" t="s">
        <v>21</v>
      </c>
      <c r="H123" t="s">
        <v>22</v>
      </c>
      <c r="I123">
        <v>-1</v>
      </c>
      <c r="J123" s="3">
        <v>21100</v>
      </c>
      <c r="K123" s="3">
        <v>27600</v>
      </c>
      <c r="L123" s="3">
        <v>-27600</v>
      </c>
      <c r="M123" s="3">
        <v>-6500</v>
      </c>
      <c r="N123" t="s">
        <v>23</v>
      </c>
      <c r="O123" t="s">
        <v>60</v>
      </c>
      <c r="P123">
        <v>30</v>
      </c>
    </row>
    <row r="124" spans="1:16" x14ac:dyDescent="0.35">
      <c r="A124" t="s">
        <v>207</v>
      </c>
      <c r="B124" s="2">
        <v>46064</v>
      </c>
      <c r="C124" t="s">
        <v>87</v>
      </c>
      <c r="D124" t="s">
        <v>88</v>
      </c>
      <c r="E124" t="s">
        <v>75</v>
      </c>
      <c r="F124" t="s">
        <v>76</v>
      </c>
      <c r="G124" t="s">
        <v>39</v>
      </c>
      <c r="H124" t="s">
        <v>35</v>
      </c>
      <c r="I124">
        <v>1</v>
      </c>
      <c r="J124" s="3">
        <v>67400</v>
      </c>
      <c r="K124" s="3">
        <v>81200</v>
      </c>
      <c r="L124" s="3">
        <v>81200</v>
      </c>
      <c r="M124" s="3">
        <v>13800</v>
      </c>
      <c r="N124" t="s">
        <v>40</v>
      </c>
      <c r="O124" t="s">
        <v>45</v>
      </c>
      <c r="P124">
        <v>90</v>
      </c>
    </row>
    <row r="125" spans="1:16" hidden="1" x14ac:dyDescent="0.35">
      <c r="A125" t="s">
        <v>208</v>
      </c>
      <c r="B125" s="2">
        <v>46222</v>
      </c>
      <c r="C125" t="s">
        <v>26</v>
      </c>
      <c r="D125" t="s">
        <v>27</v>
      </c>
      <c r="E125" t="s">
        <v>19</v>
      </c>
      <c r="F125" t="s">
        <v>28</v>
      </c>
      <c r="G125" t="s">
        <v>77</v>
      </c>
      <c r="H125" t="s">
        <v>30</v>
      </c>
      <c r="I125">
        <v>2</v>
      </c>
      <c r="J125" s="3">
        <v>197700</v>
      </c>
      <c r="K125" s="3">
        <v>246100</v>
      </c>
      <c r="L125" s="3">
        <v>492200</v>
      </c>
      <c r="M125" s="3">
        <v>96800</v>
      </c>
      <c r="N125" t="s">
        <v>37</v>
      </c>
      <c r="O125" t="s">
        <v>24</v>
      </c>
      <c r="P125">
        <v>180</v>
      </c>
    </row>
    <row r="126" spans="1:16" hidden="1" x14ac:dyDescent="0.35">
      <c r="A126" t="s">
        <v>209</v>
      </c>
      <c r="B126" s="2">
        <v>46137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30</v>
      </c>
      <c r="I126">
        <v>-2</v>
      </c>
      <c r="J126" s="3">
        <v>291000</v>
      </c>
      <c r="K126" s="3">
        <v>332600</v>
      </c>
      <c r="L126" s="3">
        <v>-665200</v>
      </c>
      <c r="M126" s="3">
        <v>-83200</v>
      </c>
      <c r="N126" t="s">
        <v>40</v>
      </c>
      <c r="O126" t="s">
        <v>60</v>
      </c>
      <c r="P126">
        <v>180</v>
      </c>
    </row>
    <row r="127" spans="1:16" x14ac:dyDescent="0.35">
      <c r="A127" t="s">
        <v>210</v>
      </c>
      <c r="B127" s="2">
        <v>46187</v>
      </c>
      <c r="C127" t="s">
        <v>119</v>
      </c>
      <c r="D127" t="s">
        <v>120</v>
      </c>
      <c r="E127" t="s">
        <v>54</v>
      </c>
      <c r="F127" t="s">
        <v>83</v>
      </c>
      <c r="G127" t="s">
        <v>21</v>
      </c>
      <c r="H127" t="s">
        <v>35</v>
      </c>
      <c r="I127">
        <v>1</v>
      </c>
      <c r="J127" s="3">
        <v>16500</v>
      </c>
      <c r="K127" s="3">
        <v>20000</v>
      </c>
      <c r="L127" s="3">
        <v>20000</v>
      </c>
      <c r="M127" s="3">
        <v>3500</v>
      </c>
      <c r="N127" t="s">
        <v>31</v>
      </c>
      <c r="O127" t="s">
        <v>24</v>
      </c>
      <c r="P127">
        <v>30</v>
      </c>
    </row>
    <row r="128" spans="1:16" hidden="1" x14ac:dyDescent="0.35">
      <c r="A128" t="s">
        <v>211</v>
      </c>
      <c r="B128" s="2">
        <v>46070</v>
      </c>
      <c r="C128" t="s">
        <v>47</v>
      </c>
      <c r="D128" t="s">
        <v>48</v>
      </c>
      <c r="E128" t="s">
        <v>49</v>
      </c>
      <c r="F128" t="s">
        <v>20</v>
      </c>
      <c r="G128" t="s">
        <v>39</v>
      </c>
      <c r="H128" t="s">
        <v>30</v>
      </c>
      <c r="I128">
        <v>1</v>
      </c>
      <c r="J128" s="3">
        <v>117400</v>
      </c>
      <c r="K128" s="3">
        <v>147600</v>
      </c>
      <c r="L128" s="3">
        <v>147600</v>
      </c>
      <c r="M128" s="3">
        <v>30200</v>
      </c>
      <c r="N128" t="s">
        <v>23</v>
      </c>
      <c r="O128" t="s">
        <v>24</v>
      </c>
      <c r="P128">
        <v>90</v>
      </c>
    </row>
    <row r="129" spans="1:16" hidden="1" x14ac:dyDescent="0.35">
      <c r="A129" t="s">
        <v>212</v>
      </c>
      <c r="B129" s="2">
        <v>46195</v>
      </c>
      <c r="C129" t="s">
        <v>47</v>
      </c>
      <c r="D129" t="s">
        <v>48</v>
      </c>
      <c r="E129" t="s">
        <v>49</v>
      </c>
      <c r="F129" t="s">
        <v>20</v>
      </c>
      <c r="G129" t="s">
        <v>39</v>
      </c>
      <c r="H129" t="s">
        <v>30</v>
      </c>
      <c r="I129">
        <v>-2</v>
      </c>
      <c r="J129" s="3">
        <v>109600</v>
      </c>
      <c r="K129" s="3">
        <v>134900</v>
      </c>
      <c r="L129" s="3">
        <v>-269800</v>
      </c>
      <c r="M129" s="3">
        <v>-50600</v>
      </c>
      <c r="N129" t="s">
        <v>31</v>
      </c>
      <c r="O129" t="s">
        <v>60</v>
      </c>
      <c r="P129">
        <v>90</v>
      </c>
    </row>
    <row r="130" spans="1:16" hidden="1" x14ac:dyDescent="0.35">
      <c r="A130" t="s">
        <v>213</v>
      </c>
      <c r="B130" s="2">
        <v>46186</v>
      </c>
      <c r="C130" t="s">
        <v>119</v>
      </c>
      <c r="D130" t="s">
        <v>120</v>
      </c>
      <c r="E130" t="s">
        <v>54</v>
      </c>
      <c r="F130" t="s">
        <v>83</v>
      </c>
      <c r="G130" t="s">
        <v>77</v>
      </c>
      <c r="H130" t="s">
        <v>22</v>
      </c>
      <c r="I130">
        <v>-4</v>
      </c>
      <c r="J130" s="3">
        <v>31300</v>
      </c>
      <c r="K130" s="3">
        <v>39600</v>
      </c>
      <c r="L130" s="3">
        <v>-158400</v>
      </c>
      <c r="M130" s="3">
        <v>-33200</v>
      </c>
      <c r="N130" t="s">
        <v>40</v>
      </c>
      <c r="O130" t="s">
        <v>60</v>
      </c>
      <c r="P130">
        <v>30</v>
      </c>
    </row>
    <row r="131" spans="1:16" x14ac:dyDescent="0.35">
      <c r="A131" t="s">
        <v>214</v>
      </c>
      <c r="B131" s="2">
        <v>46215</v>
      </c>
      <c r="C131" t="s">
        <v>111</v>
      </c>
      <c r="D131" t="s">
        <v>112</v>
      </c>
      <c r="E131" t="s">
        <v>19</v>
      </c>
      <c r="F131" t="s">
        <v>83</v>
      </c>
      <c r="G131" t="s">
        <v>39</v>
      </c>
      <c r="H131" t="s">
        <v>35</v>
      </c>
      <c r="I131">
        <v>-1</v>
      </c>
      <c r="J131" s="3">
        <v>271900</v>
      </c>
      <c r="K131" s="3">
        <v>316700</v>
      </c>
      <c r="L131" s="3">
        <v>-316700</v>
      </c>
      <c r="M131" s="3">
        <v>-44800</v>
      </c>
      <c r="N131" t="s">
        <v>40</v>
      </c>
      <c r="O131" t="s">
        <v>60</v>
      </c>
      <c r="P131">
        <v>180</v>
      </c>
    </row>
    <row r="132" spans="1:16" hidden="1" x14ac:dyDescent="0.35">
      <c r="A132" t="s">
        <v>215</v>
      </c>
      <c r="B132" s="2">
        <v>46040</v>
      </c>
      <c r="C132" t="s">
        <v>119</v>
      </c>
      <c r="D132" t="s">
        <v>120</v>
      </c>
      <c r="E132" t="s">
        <v>54</v>
      </c>
      <c r="F132" t="s">
        <v>83</v>
      </c>
      <c r="G132" t="s">
        <v>77</v>
      </c>
      <c r="H132" t="s">
        <v>22</v>
      </c>
      <c r="I132">
        <v>-3</v>
      </c>
      <c r="J132" s="3">
        <v>30700</v>
      </c>
      <c r="K132" s="3">
        <v>40400</v>
      </c>
      <c r="L132" s="3">
        <v>-121200</v>
      </c>
      <c r="M132" s="3">
        <v>-29100</v>
      </c>
      <c r="N132" t="s">
        <v>40</v>
      </c>
      <c r="O132" t="s">
        <v>60</v>
      </c>
      <c r="P132">
        <v>30</v>
      </c>
    </row>
    <row r="133" spans="1:16" hidden="1" x14ac:dyDescent="0.35">
      <c r="A133" t="s">
        <v>216</v>
      </c>
      <c r="B133" s="2">
        <v>46119</v>
      </c>
      <c r="C133" t="s">
        <v>81</v>
      </c>
      <c r="D133" t="s">
        <v>82</v>
      </c>
      <c r="E133" t="s">
        <v>44</v>
      </c>
      <c r="F133" t="s">
        <v>83</v>
      </c>
      <c r="G133" t="s">
        <v>29</v>
      </c>
      <c r="H133" t="s">
        <v>30</v>
      </c>
      <c r="I133">
        <v>1</v>
      </c>
      <c r="J133" s="3">
        <v>247300</v>
      </c>
      <c r="K133" s="3">
        <v>292300</v>
      </c>
      <c r="L133" s="3">
        <v>292300</v>
      </c>
      <c r="M133" s="3">
        <v>45000</v>
      </c>
      <c r="N133" t="s">
        <v>23</v>
      </c>
      <c r="O133" t="s">
        <v>24</v>
      </c>
      <c r="P133">
        <v>180</v>
      </c>
    </row>
    <row r="134" spans="1:16" hidden="1" x14ac:dyDescent="0.35">
      <c r="A134" t="s">
        <v>217</v>
      </c>
      <c r="B134" s="2">
        <v>46137</v>
      </c>
      <c r="C134" t="s">
        <v>111</v>
      </c>
      <c r="D134" t="s">
        <v>112</v>
      </c>
      <c r="E134" t="s">
        <v>19</v>
      </c>
      <c r="F134" t="s">
        <v>83</v>
      </c>
      <c r="G134" t="s">
        <v>21</v>
      </c>
      <c r="H134" t="s">
        <v>30</v>
      </c>
      <c r="I134">
        <v>-1</v>
      </c>
      <c r="J134" s="3">
        <v>283700</v>
      </c>
      <c r="K134" s="3">
        <v>372900</v>
      </c>
      <c r="L134" s="3">
        <v>-372900</v>
      </c>
      <c r="M134" s="3">
        <v>-89200</v>
      </c>
      <c r="N134" t="s">
        <v>37</v>
      </c>
      <c r="O134" t="s">
        <v>60</v>
      </c>
      <c r="P134">
        <v>180</v>
      </c>
    </row>
    <row r="135" spans="1:16" hidden="1" x14ac:dyDescent="0.35">
      <c r="A135" t="s">
        <v>218</v>
      </c>
      <c r="B135" s="2">
        <v>46070</v>
      </c>
      <c r="C135" t="s">
        <v>57</v>
      </c>
      <c r="D135" t="s">
        <v>58</v>
      </c>
      <c r="E135" t="s">
        <v>49</v>
      </c>
      <c r="F135" t="s">
        <v>59</v>
      </c>
      <c r="G135" t="s">
        <v>39</v>
      </c>
      <c r="H135" t="s">
        <v>50</v>
      </c>
      <c r="I135">
        <v>-1</v>
      </c>
      <c r="J135" s="3">
        <v>73700</v>
      </c>
      <c r="K135" s="3">
        <v>87100</v>
      </c>
      <c r="L135" s="3">
        <v>-87100</v>
      </c>
      <c r="M135" s="3">
        <v>-13400</v>
      </c>
      <c r="N135" t="s">
        <v>40</v>
      </c>
      <c r="O135" t="s">
        <v>60</v>
      </c>
      <c r="P135">
        <v>90</v>
      </c>
    </row>
    <row r="136" spans="1:16" hidden="1" x14ac:dyDescent="0.35">
      <c r="A136" t="s">
        <v>219</v>
      </c>
      <c r="B136" s="2">
        <v>46275</v>
      </c>
      <c r="C136" t="s">
        <v>69</v>
      </c>
      <c r="D136" t="s">
        <v>70</v>
      </c>
      <c r="E136" t="s">
        <v>54</v>
      </c>
      <c r="F136" t="s">
        <v>64</v>
      </c>
      <c r="G136" t="s">
        <v>21</v>
      </c>
      <c r="H136" t="s">
        <v>30</v>
      </c>
      <c r="I136">
        <v>1</v>
      </c>
      <c r="J136" s="3">
        <v>8400</v>
      </c>
      <c r="K136" s="3">
        <v>9500</v>
      </c>
      <c r="L136" s="3">
        <v>9500</v>
      </c>
      <c r="M136" s="3">
        <v>1100</v>
      </c>
      <c r="N136" t="s">
        <v>31</v>
      </c>
      <c r="O136" t="s">
        <v>45</v>
      </c>
      <c r="P136">
        <v>30</v>
      </c>
    </row>
    <row r="137" spans="1:16" hidden="1" x14ac:dyDescent="0.35">
      <c r="A137" t="s">
        <v>220</v>
      </c>
      <c r="B137" s="2">
        <v>46276</v>
      </c>
      <c r="C137" t="s">
        <v>90</v>
      </c>
      <c r="D137" t="s">
        <v>91</v>
      </c>
      <c r="E137" t="s">
        <v>19</v>
      </c>
      <c r="F137" t="s">
        <v>92</v>
      </c>
      <c r="G137" t="s">
        <v>77</v>
      </c>
      <c r="H137" t="s">
        <v>22</v>
      </c>
      <c r="I137">
        <v>1</v>
      </c>
      <c r="J137" s="3">
        <v>285700</v>
      </c>
      <c r="K137" s="3">
        <v>326500</v>
      </c>
      <c r="L137" s="3">
        <v>326500</v>
      </c>
      <c r="M137" s="3">
        <v>40800</v>
      </c>
      <c r="N137" t="s">
        <v>40</v>
      </c>
      <c r="O137" t="s">
        <v>24</v>
      </c>
      <c r="P137">
        <v>180</v>
      </c>
    </row>
    <row r="138" spans="1:16" x14ac:dyDescent="0.35">
      <c r="A138" t="s">
        <v>221</v>
      </c>
      <c r="B138" s="2">
        <v>46097</v>
      </c>
      <c r="C138" t="s">
        <v>52</v>
      </c>
      <c r="D138" t="s">
        <v>53</v>
      </c>
      <c r="E138" t="s">
        <v>54</v>
      </c>
      <c r="F138" t="s">
        <v>55</v>
      </c>
      <c r="G138" t="s">
        <v>77</v>
      </c>
      <c r="H138" t="s">
        <v>35</v>
      </c>
      <c r="I138">
        <v>1</v>
      </c>
      <c r="J138" s="3">
        <v>34600</v>
      </c>
      <c r="K138" s="3">
        <v>39100</v>
      </c>
      <c r="L138" s="3">
        <v>39100</v>
      </c>
      <c r="M138" s="3">
        <v>4500</v>
      </c>
      <c r="N138" t="s">
        <v>31</v>
      </c>
      <c r="O138" t="s">
        <v>24</v>
      </c>
      <c r="P138">
        <v>30</v>
      </c>
    </row>
    <row r="139" spans="1:16" hidden="1" x14ac:dyDescent="0.35">
      <c r="A139" t="s">
        <v>222</v>
      </c>
      <c r="B139" s="2">
        <v>46144</v>
      </c>
      <c r="C139" t="s">
        <v>17</v>
      </c>
      <c r="D139" t="s">
        <v>18</v>
      </c>
      <c r="E139" t="s">
        <v>19</v>
      </c>
      <c r="F139" t="s">
        <v>20</v>
      </c>
      <c r="G139" t="s">
        <v>77</v>
      </c>
      <c r="H139" t="s">
        <v>22</v>
      </c>
      <c r="I139">
        <v>1</v>
      </c>
      <c r="J139" s="3">
        <v>181100</v>
      </c>
      <c r="K139" s="3">
        <v>229900</v>
      </c>
      <c r="L139" s="3">
        <v>229900</v>
      </c>
      <c r="M139" s="3">
        <v>48800</v>
      </c>
      <c r="N139" t="s">
        <v>37</v>
      </c>
      <c r="O139" t="s">
        <v>45</v>
      </c>
      <c r="P139">
        <v>180</v>
      </c>
    </row>
    <row r="140" spans="1:16" hidden="1" x14ac:dyDescent="0.35">
      <c r="A140" t="s">
        <v>223</v>
      </c>
      <c r="B140" s="2">
        <v>46246</v>
      </c>
      <c r="C140" t="s">
        <v>101</v>
      </c>
      <c r="D140" t="s">
        <v>102</v>
      </c>
      <c r="E140" t="s">
        <v>19</v>
      </c>
      <c r="F140" t="s">
        <v>83</v>
      </c>
      <c r="G140" t="s">
        <v>21</v>
      </c>
      <c r="H140" t="s">
        <v>30</v>
      </c>
      <c r="I140">
        <v>1</v>
      </c>
      <c r="J140" s="3">
        <v>241100</v>
      </c>
      <c r="K140" s="3">
        <v>292200</v>
      </c>
      <c r="L140" s="3">
        <v>292200</v>
      </c>
      <c r="M140" s="3">
        <v>51100</v>
      </c>
      <c r="N140" t="s">
        <v>31</v>
      </c>
      <c r="O140" t="s">
        <v>24</v>
      </c>
      <c r="P140">
        <v>180</v>
      </c>
    </row>
    <row r="141" spans="1:16" hidden="1" x14ac:dyDescent="0.35">
      <c r="A141" t="s">
        <v>224</v>
      </c>
      <c r="B141" s="2">
        <v>46262</v>
      </c>
      <c r="C141" t="s">
        <v>17</v>
      </c>
      <c r="D141" t="s">
        <v>18</v>
      </c>
      <c r="E141" t="s">
        <v>19</v>
      </c>
      <c r="F141" t="s">
        <v>20</v>
      </c>
      <c r="G141" t="s">
        <v>77</v>
      </c>
      <c r="H141" t="s">
        <v>22</v>
      </c>
      <c r="I141">
        <v>-1</v>
      </c>
      <c r="J141" s="3">
        <v>236700</v>
      </c>
      <c r="K141" s="3">
        <v>310800</v>
      </c>
      <c r="L141" s="3">
        <v>-310800</v>
      </c>
      <c r="M141" s="3">
        <v>-74100</v>
      </c>
      <c r="N141" t="s">
        <v>37</v>
      </c>
      <c r="O141" t="s">
        <v>60</v>
      </c>
      <c r="P141">
        <v>180</v>
      </c>
    </row>
    <row r="142" spans="1:16" hidden="1" x14ac:dyDescent="0.35">
      <c r="A142" t="s">
        <v>225</v>
      </c>
      <c r="B142" s="2">
        <v>46185</v>
      </c>
      <c r="C142" t="s">
        <v>17</v>
      </c>
      <c r="D142" t="s">
        <v>18</v>
      </c>
      <c r="E142" t="s">
        <v>19</v>
      </c>
      <c r="F142" t="s">
        <v>20</v>
      </c>
      <c r="G142" t="s">
        <v>77</v>
      </c>
      <c r="H142" t="s">
        <v>50</v>
      </c>
      <c r="I142">
        <v>1</v>
      </c>
      <c r="J142" s="3">
        <v>214100</v>
      </c>
      <c r="K142" s="3">
        <v>265000</v>
      </c>
      <c r="L142" s="3">
        <v>265000</v>
      </c>
      <c r="M142" s="3">
        <v>50900</v>
      </c>
      <c r="N142" t="s">
        <v>31</v>
      </c>
      <c r="O142" t="s">
        <v>45</v>
      </c>
      <c r="P142">
        <v>180</v>
      </c>
    </row>
    <row r="143" spans="1:16" hidden="1" x14ac:dyDescent="0.35">
      <c r="A143" t="s">
        <v>226</v>
      </c>
      <c r="B143" s="2">
        <v>46205</v>
      </c>
      <c r="C143" t="s">
        <v>95</v>
      </c>
      <c r="D143" t="s">
        <v>96</v>
      </c>
      <c r="E143" t="s">
        <v>19</v>
      </c>
      <c r="F143" t="s">
        <v>28</v>
      </c>
      <c r="G143" t="s">
        <v>77</v>
      </c>
      <c r="H143" t="s">
        <v>50</v>
      </c>
      <c r="I143">
        <v>1</v>
      </c>
      <c r="J143" s="3">
        <v>190700</v>
      </c>
      <c r="K143" s="3">
        <v>237700</v>
      </c>
      <c r="L143" s="3">
        <v>237700</v>
      </c>
      <c r="M143" s="3">
        <v>47000</v>
      </c>
      <c r="N143" t="s">
        <v>40</v>
      </c>
      <c r="O143" t="s">
        <v>24</v>
      </c>
      <c r="P143">
        <v>180</v>
      </c>
    </row>
    <row r="144" spans="1:16" hidden="1" x14ac:dyDescent="0.35">
      <c r="A144" t="s">
        <v>227</v>
      </c>
      <c r="B144" s="2">
        <v>46117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30</v>
      </c>
      <c r="I144">
        <v>2</v>
      </c>
      <c r="J144" s="3">
        <v>200500</v>
      </c>
      <c r="K144" s="3">
        <v>232500</v>
      </c>
      <c r="L144" s="3">
        <v>465000</v>
      </c>
      <c r="M144" s="3">
        <v>64000</v>
      </c>
      <c r="N144" t="s">
        <v>37</v>
      </c>
      <c r="O144" t="s">
        <v>24</v>
      </c>
      <c r="P144">
        <v>180</v>
      </c>
    </row>
    <row r="145" spans="1:16" hidden="1" x14ac:dyDescent="0.35">
      <c r="A145" t="s">
        <v>228</v>
      </c>
      <c r="B145" s="2">
        <v>46104</v>
      </c>
      <c r="C145" t="s">
        <v>104</v>
      </c>
      <c r="D145" t="s">
        <v>105</v>
      </c>
      <c r="E145" t="s">
        <v>106</v>
      </c>
      <c r="F145" t="s">
        <v>76</v>
      </c>
      <c r="G145" t="s">
        <v>21</v>
      </c>
      <c r="H145" t="s">
        <v>22</v>
      </c>
      <c r="I145">
        <v>1</v>
      </c>
      <c r="J145" s="3">
        <v>41800</v>
      </c>
      <c r="K145" s="3">
        <v>55100</v>
      </c>
      <c r="L145" s="3">
        <v>55100</v>
      </c>
      <c r="M145" s="3">
        <v>13300</v>
      </c>
      <c r="N145" t="s">
        <v>37</v>
      </c>
      <c r="O145" t="s">
        <v>24</v>
      </c>
      <c r="P145">
        <v>90</v>
      </c>
    </row>
    <row r="146" spans="1:16" x14ac:dyDescent="0.35">
      <c r="A146" t="s">
        <v>229</v>
      </c>
      <c r="B146" s="2">
        <v>46286</v>
      </c>
      <c r="C146" t="s">
        <v>62</v>
      </c>
      <c r="D146" t="s">
        <v>63</v>
      </c>
      <c r="E146" t="s">
        <v>54</v>
      </c>
      <c r="F146" t="s">
        <v>64</v>
      </c>
      <c r="G146" t="s">
        <v>39</v>
      </c>
      <c r="H146" t="s">
        <v>35</v>
      </c>
      <c r="I146">
        <v>2</v>
      </c>
      <c r="J146" s="3">
        <v>24700</v>
      </c>
      <c r="K146" s="3">
        <v>31600</v>
      </c>
      <c r="L146" s="3">
        <v>63200</v>
      </c>
      <c r="M146" s="3">
        <v>13800</v>
      </c>
      <c r="N146" t="s">
        <v>37</v>
      </c>
      <c r="O146" t="s">
        <v>24</v>
      </c>
      <c r="P146">
        <v>30</v>
      </c>
    </row>
    <row r="147" spans="1:16" hidden="1" x14ac:dyDescent="0.35">
      <c r="A147" t="s">
        <v>230</v>
      </c>
      <c r="B147" s="2">
        <v>46286</v>
      </c>
      <c r="C147" t="s">
        <v>62</v>
      </c>
      <c r="D147" t="s">
        <v>63</v>
      </c>
      <c r="E147" t="s">
        <v>54</v>
      </c>
      <c r="F147" t="s">
        <v>64</v>
      </c>
      <c r="G147" t="s">
        <v>21</v>
      </c>
      <c r="H147" t="s">
        <v>30</v>
      </c>
      <c r="I147">
        <v>1</v>
      </c>
      <c r="J147" s="3">
        <v>8100</v>
      </c>
      <c r="K147" s="3">
        <v>9700</v>
      </c>
      <c r="L147" s="3">
        <v>9700</v>
      </c>
      <c r="M147" s="3">
        <v>1600</v>
      </c>
      <c r="N147" t="s">
        <v>23</v>
      </c>
      <c r="O147" t="s">
        <v>24</v>
      </c>
      <c r="P147">
        <v>30</v>
      </c>
    </row>
    <row r="148" spans="1:16" hidden="1" x14ac:dyDescent="0.35">
      <c r="A148" t="s">
        <v>231</v>
      </c>
      <c r="B148" s="2">
        <v>46270</v>
      </c>
      <c r="C148" t="s">
        <v>62</v>
      </c>
      <c r="D148" t="s">
        <v>63</v>
      </c>
      <c r="E148" t="s">
        <v>54</v>
      </c>
      <c r="F148" t="s">
        <v>64</v>
      </c>
      <c r="G148" t="s">
        <v>29</v>
      </c>
      <c r="H148" t="s">
        <v>22</v>
      </c>
      <c r="I148">
        <v>-1</v>
      </c>
      <c r="J148" s="3">
        <v>32500</v>
      </c>
      <c r="K148" s="3">
        <v>40100</v>
      </c>
      <c r="L148" s="3">
        <v>-40100</v>
      </c>
      <c r="M148" s="3">
        <v>-7600</v>
      </c>
      <c r="N148" t="s">
        <v>37</v>
      </c>
      <c r="O148" t="s">
        <v>60</v>
      </c>
      <c r="P148">
        <v>30</v>
      </c>
    </row>
    <row r="149" spans="1:16" hidden="1" x14ac:dyDescent="0.35">
      <c r="A149" t="s">
        <v>232</v>
      </c>
      <c r="B149" s="2">
        <v>46285</v>
      </c>
      <c r="C149" t="s">
        <v>17</v>
      </c>
      <c r="D149" t="s">
        <v>18</v>
      </c>
      <c r="E149" t="s">
        <v>19</v>
      </c>
      <c r="F149" t="s">
        <v>20</v>
      </c>
      <c r="G149" t="s">
        <v>29</v>
      </c>
      <c r="H149" t="s">
        <v>22</v>
      </c>
      <c r="I149">
        <v>5</v>
      </c>
      <c r="J149" s="3">
        <v>293500</v>
      </c>
      <c r="K149" s="3">
        <v>377900</v>
      </c>
      <c r="L149" s="3">
        <v>1889500</v>
      </c>
      <c r="M149" s="3">
        <v>422000</v>
      </c>
      <c r="N149" t="s">
        <v>40</v>
      </c>
      <c r="O149" t="s">
        <v>24</v>
      </c>
      <c r="P149">
        <v>180</v>
      </c>
    </row>
    <row r="150" spans="1:16" hidden="1" x14ac:dyDescent="0.35">
      <c r="A150" t="s">
        <v>233</v>
      </c>
      <c r="B150" s="2">
        <v>46217</v>
      </c>
      <c r="C150" t="s">
        <v>62</v>
      </c>
      <c r="D150" t="s">
        <v>63</v>
      </c>
      <c r="E150" t="s">
        <v>54</v>
      </c>
      <c r="F150" t="s">
        <v>64</v>
      </c>
      <c r="G150" t="s">
        <v>77</v>
      </c>
      <c r="H150" t="s">
        <v>30</v>
      </c>
      <c r="I150">
        <v>2</v>
      </c>
      <c r="J150" s="3">
        <v>34700</v>
      </c>
      <c r="K150" s="3">
        <v>42500</v>
      </c>
      <c r="L150" s="3">
        <v>85000</v>
      </c>
      <c r="M150" s="3">
        <v>15600</v>
      </c>
      <c r="N150" t="s">
        <v>37</v>
      </c>
      <c r="O150" t="s">
        <v>24</v>
      </c>
      <c r="P150">
        <v>30</v>
      </c>
    </row>
    <row r="151" spans="1:16" hidden="1" x14ac:dyDescent="0.35">
      <c r="A151" t="s">
        <v>234</v>
      </c>
      <c r="B151" s="2">
        <v>46060</v>
      </c>
      <c r="C151" t="s">
        <v>57</v>
      </c>
      <c r="D151" t="s">
        <v>58</v>
      </c>
      <c r="E151" t="s">
        <v>49</v>
      </c>
      <c r="F151" t="s">
        <v>59</v>
      </c>
      <c r="G151" t="s">
        <v>77</v>
      </c>
      <c r="H151" t="s">
        <v>22</v>
      </c>
      <c r="I151">
        <v>2</v>
      </c>
      <c r="J151" s="3">
        <v>102300</v>
      </c>
      <c r="K151" s="3">
        <v>115600</v>
      </c>
      <c r="L151" s="3">
        <v>231200</v>
      </c>
      <c r="M151" s="3">
        <v>26600</v>
      </c>
      <c r="N151" t="s">
        <v>37</v>
      </c>
      <c r="O151" t="s">
        <v>24</v>
      </c>
      <c r="P151">
        <v>90</v>
      </c>
    </row>
    <row r="152" spans="1:16" hidden="1" x14ac:dyDescent="0.35">
      <c r="A152" t="s">
        <v>235</v>
      </c>
      <c r="B152" s="2">
        <v>46103</v>
      </c>
      <c r="C152" t="s">
        <v>42</v>
      </c>
      <c r="D152" t="s">
        <v>43</v>
      </c>
      <c r="E152" t="s">
        <v>44</v>
      </c>
      <c r="F152" t="s">
        <v>28</v>
      </c>
      <c r="G152" t="s">
        <v>77</v>
      </c>
      <c r="H152" t="s">
        <v>22</v>
      </c>
      <c r="I152">
        <v>-4</v>
      </c>
      <c r="J152" s="3">
        <v>197700</v>
      </c>
      <c r="K152" s="3">
        <v>255100</v>
      </c>
      <c r="L152" s="3">
        <v>-1020400</v>
      </c>
      <c r="M152" s="3">
        <v>-229600</v>
      </c>
      <c r="N152" t="s">
        <v>40</v>
      </c>
      <c r="O152" t="s">
        <v>60</v>
      </c>
      <c r="P152">
        <v>180</v>
      </c>
    </row>
    <row r="153" spans="1:16" hidden="1" x14ac:dyDescent="0.35">
      <c r="A153" t="s">
        <v>236</v>
      </c>
      <c r="B153" s="2">
        <v>46070</v>
      </c>
      <c r="C153" t="s">
        <v>47</v>
      </c>
      <c r="D153" t="s">
        <v>48</v>
      </c>
      <c r="E153" t="s">
        <v>49</v>
      </c>
      <c r="F153" t="s">
        <v>20</v>
      </c>
      <c r="G153" t="s">
        <v>77</v>
      </c>
      <c r="H153" t="s">
        <v>30</v>
      </c>
      <c r="I153">
        <v>2</v>
      </c>
      <c r="J153" s="3">
        <v>82100</v>
      </c>
      <c r="K153" s="3">
        <v>102700</v>
      </c>
      <c r="L153" s="3">
        <v>205400</v>
      </c>
      <c r="M153" s="3">
        <v>41200</v>
      </c>
      <c r="N153" t="s">
        <v>31</v>
      </c>
      <c r="O153" t="s">
        <v>24</v>
      </c>
      <c r="P153">
        <v>90</v>
      </c>
    </row>
    <row r="154" spans="1:16" x14ac:dyDescent="0.35">
      <c r="A154" t="s">
        <v>237</v>
      </c>
      <c r="B154" s="2">
        <v>46074</v>
      </c>
      <c r="C154" t="s">
        <v>111</v>
      </c>
      <c r="D154" t="s">
        <v>112</v>
      </c>
      <c r="E154" t="s">
        <v>19</v>
      </c>
      <c r="F154" t="s">
        <v>83</v>
      </c>
      <c r="G154" t="s">
        <v>21</v>
      </c>
      <c r="H154" t="s">
        <v>35</v>
      </c>
      <c r="I154">
        <v>-2</v>
      </c>
      <c r="J154" s="3">
        <v>273800</v>
      </c>
      <c r="K154" s="3">
        <v>352000</v>
      </c>
      <c r="L154" s="3">
        <v>-704000</v>
      </c>
      <c r="M154" s="3">
        <v>-156400</v>
      </c>
      <c r="N154" t="s">
        <v>23</v>
      </c>
      <c r="O154" t="s">
        <v>60</v>
      </c>
      <c r="P154">
        <v>180</v>
      </c>
    </row>
    <row r="155" spans="1:16" hidden="1" x14ac:dyDescent="0.35">
      <c r="A155" t="s">
        <v>238</v>
      </c>
      <c r="B155" s="2">
        <v>46125</v>
      </c>
      <c r="C155" t="s">
        <v>47</v>
      </c>
      <c r="D155" t="s">
        <v>48</v>
      </c>
      <c r="E155" t="s">
        <v>49</v>
      </c>
      <c r="F155" t="s">
        <v>20</v>
      </c>
      <c r="G155" t="s">
        <v>29</v>
      </c>
      <c r="H155" t="s">
        <v>50</v>
      </c>
      <c r="I155">
        <v>1</v>
      </c>
      <c r="J155" s="3">
        <v>82000</v>
      </c>
      <c r="K155" s="3">
        <v>107400</v>
      </c>
      <c r="L155" s="3">
        <v>107400</v>
      </c>
      <c r="M155" s="3">
        <v>25400</v>
      </c>
      <c r="N155" t="s">
        <v>40</v>
      </c>
      <c r="O155" t="s">
        <v>45</v>
      </c>
      <c r="P155">
        <v>90</v>
      </c>
    </row>
    <row r="156" spans="1:16" x14ac:dyDescent="0.35">
      <c r="A156" t="s">
        <v>239</v>
      </c>
      <c r="B156" s="2">
        <v>46296</v>
      </c>
      <c r="C156" t="s">
        <v>26</v>
      </c>
      <c r="D156" t="s">
        <v>27</v>
      </c>
      <c r="E156" t="s">
        <v>19</v>
      </c>
      <c r="F156" t="s">
        <v>28</v>
      </c>
      <c r="G156" t="s">
        <v>39</v>
      </c>
      <c r="H156" t="s">
        <v>35</v>
      </c>
      <c r="I156">
        <v>-1</v>
      </c>
      <c r="J156" s="3">
        <v>221400</v>
      </c>
      <c r="K156" s="3">
        <v>282900</v>
      </c>
      <c r="L156" s="3">
        <v>-282900</v>
      </c>
      <c r="M156" s="3">
        <v>-61500</v>
      </c>
      <c r="N156" t="s">
        <v>40</v>
      </c>
      <c r="O156" t="s">
        <v>60</v>
      </c>
      <c r="P156">
        <v>180</v>
      </c>
    </row>
    <row r="157" spans="1:16" hidden="1" x14ac:dyDescent="0.35">
      <c r="A157" t="s">
        <v>240</v>
      </c>
      <c r="B157" s="2">
        <v>46111</v>
      </c>
      <c r="C157" t="s">
        <v>69</v>
      </c>
      <c r="D157" t="s">
        <v>70</v>
      </c>
      <c r="E157" t="s">
        <v>54</v>
      </c>
      <c r="F157" t="s">
        <v>64</v>
      </c>
      <c r="G157" t="s">
        <v>21</v>
      </c>
      <c r="H157" t="s">
        <v>22</v>
      </c>
      <c r="I157">
        <v>-3</v>
      </c>
      <c r="J157" s="3">
        <v>17500</v>
      </c>
      <c r="K157" s="3">
        <v>20200</v>
      </c>
      <c r="L157" s="3">
        <v>-60600</v>
      </c>
      <c r="M157" s="3">
        <v>-8100</v>
      </c>
      <c r="N157" t="s">
        <v>37</v>
      </c>
      <c r="O157" t="s">
        <v>60</v>
      </c>
      <c r="P157">
        <v>30</v>
      </c>
    </row>
    <row r="158" spans="1:16" hidden="1" x14ac:dyDescent="0.35">
      <c r="A158" t="s">
        <v>241</v>
      </c>
      <c r="B158" s="2">
        <v>46256</v>
      </c>
      <c r="C158" t="s">
        <v>47</v>
      </c>
      <c r="D158" t="s">
        <v>48</v>
      </c>
      <c r="E158" t="s">
        <v>49</v>
      </c>
      <c r="F158" t="s">
        <v>20</v>
      </c>
      <c r="G158" t="s">
        <v>29</v>
      </c>
      <c r="H158" t="s">
        <v>50</v>
      </c>
      <c r="I158">
        <v>1</v>
      </c>
      <c r="J158" s="3">
        <v>102200</v>
      </c>
      <c r="K158" s="3">
        <v>119300</v>
      </c>
      <c r="L158" s="3">
        <v>119300</v>
      </c>
      <c r="M158" s="3">
        <v>17100</v>
      </c>
      <c r="N158" t="s">
        <v>31</v>
      </c>
      <c r="O158" t="s">
        <v>24</v>
      </c>
      <c r="P158">
        <v>90</v>
      </c>
    </row>
    <row r="159" spans="1:16" x14ac:dyDescent="0.35">
      <c r="A159" t="s">
        <v>242</v>
      </c>
      <c r="B159" s="2">
        <v>46252</v>
      </c>
      <c r="C159" t="s">
        <v>87</v>
      </c>
      <c r="D159" t="s">
        <v>88</v>
      </c>
      <c r="E159" t="s">
        <v>75</v>
      </c>
      <c r="F159" t="s">
        <v>76</v>
      </c>
      <c r="G159" t="s">
        <v>21</v>
      </c>
      <c r="H159" t="s">
        <v>35</v>
      </c>
      <c r="I159">
        <v>-2</v>
      </c>
      <c r="J159" s="3">
        <v>70200</v>
      </c>
      <c r="K159" s="3">
        <v>81300</v>
      </c>
      <c r="L159" s="3">
        <v>-162600</v>
      </c>
      <c r="M159" s="3">
        <v>-22200</v>
      </c>
      <c r="N159" t="s">
        <v>37</v>
      </c>
      <c r="O159" t="s">
        <v>60</v>
      </c>
      <c r="P159">
        <v>90</v>
      </c>
    </row>
    <row r="160" spans="1:16" hidden="1" x14ac:dyDescent="0.35">
      <c r="A160" t="s">
        <v>243</v>
      </c>
      <c r="B160" s="2">
        <v>46097</v>
      </c>
      <c r="C160" t="s">
        <v>73</v>
      </c>
      <c r="D160" t="s">
        <v>74</v>
      </c>
      <c r="E160" t="s">
        <v>75</v>
      </c>
      <c r="F160" t="s">
        <v>76</v>
      </c>
      <c r="G160" t="s">
        <v>77</v>
      </c>
      <c r="H160" t="s">
        <v>22</v>
      </c>
      <c r="I160">
        <v>-3</v>
      </c>
      <c r="J160" s="3">
        <v>51400</v>
      </c>
      <c r="K160" s="3">
        <v>67500</v>
      </c>
      <c r="L160" s="3">
        <v>-202500</v>
      </c>
      <c r="M160" s="3">
        <v>-48300</v>
      </c>
      <c r="N160" t="s">
        <v>37</v>
      </c>
      <c r="O160" t="s">
        <v>60</v>
      </c>
      <c r="P160">
        <v>90</v>
      </c>
    </row>
    <row r="161" spans="1:16" hidden="1" x14ac:dyDescent="0.35">
      <c r="A161" t="s">
        <v>244</v>
      </c>
      <c r="B161" s="2">
        <v>46172</v>
      </c>
      <c r="C161" t="s">
        <v>47</v>
      </c>
      <c r="D161" t="s">
        <v>48</v>
      </c>
      <c r="E161" t="s">
        <v>49</v>
      </c>
      <c r="F161" t="s">
        <v>20</v>
      </c>
      <c r="G161" t="s">
        <v>39</v>
      </c>
      <c r="H161" t="s">
        <v>50</v>
      </c>
      <c r="I161">
        <v>3</v>
      </c>
      <c r="J161" s="3">
        <v>95500</v>
      </c>
      <c r="K161" s="3">
        <v>108900</v>
      </c>
      <c r="L161" s="3">
        <v>326700</v>
      </c>
      <c r="M161" s="3">
        <v>40200</v>
      </c>
      <c r="N161" t="s">
        <v>31</v>
      </c>
      <c r="O161" t="s">
        <v>24</v>
      </c>
      <c r="P161">
        <v>90</v>
      </c>
    </row>
    <row r="162" spans="1:16" hidden="1" x14ac:dyDescent="0.35">
      <c r="A162" t="s">
        <v>245</v>
      </c>
      <c r="B162" s="2">
        <v>46257</v>
      </c>
      <c r="C162" t="s">
        <v>62</v>
      </c>
      <c r="D162" t="s">
        <v>63</v>
      </c>
      <c r="E162" t="s">
        <v>54</v>
      </c>
      <c r="F162" t="s">
        <v>64</v>
      </c>
      <c r="G162" t="s">
        <v>77</v>
      </c>
      <c r="H162" t="s">
        <v>22</v>
      </c>
      <c r="I162">
        <v>1</v>
      </c>
      <c r="J162" s="3">
        <v>32300</v>
      </c>
      <c r="K162" s="3">
        <v>37100</v>
      </c>
      <c r="L162" s="3">
        <v>37100</v>
      </c>
      <c r="M162" s="3">
        <v>4800</v>
      </c>
      <c r="N162" t="s">
        <v>37</v>
      </c>
      <c r="O162" t="s">
        <v>24</v>
      </c>
      <c r="P162">
        <v>30</v>
      </c>
    </row>
    <row r="163" spans="1:16" hidden="1" x14ac:dyDescent="0.35">
      <c r="A163" t="s">
        <v>246</v>
      </c>
      <c r="B163" s="2">
        <v>46218</v>
      </c>
      <c r="C163" t="s">
        <v>101</v>
      </c>
      <c r="D163" t="s">
        <v>102</v>
      </c>
      <c r="E163" t="s">
        <v>19</v>
      </c>
      <c r="F163" t="s">
        <v>83</v>
      </c>
      <c r="G163" t="s">
        <v>29</v>
      </c>
      <c r="H163" t="s">
        <v>22</v>
      </c>
      <c r="I163">
        <v>1</v>
      </c>
      <c r="J163" s="3">
        <v>235500</v>
      </c>
      <c r="K163" s="3">
        <v>281400</v>
      </c>
      <c r="L163" s="3">
        <v>281400</v>
      </c>
      <c r="M163" s="3">
        <v>45900</v>
      </c>
      <c r="N163" t="s">
        <v>31</v>
      </c>
      <c r="O163" t="s">
        <v>24</v>
      </c>
      <c r="P163">
        <v>180</v>
      </c>
    </row>
    <row r="164" spans="1:16" hidden="1" x14ac:dyDescent="0.35">
      <c r="A164" t="s">
        <v>247</v>
      </c>
      <c r="B164" s="2">
        <v>46046</v>
      </c>
      <c r="C164" t="s">
        <v>17</v>
      </c>
      <c r="D164" t="s">
        <v>18</v>
      </c>
      <c r="E164" t="s">
        <v>19</v>
      </c>
      <c r="F164" t="s">
        <v>20</v>
      </c>
      <c r="G164" t="s">
        <v>77</v>
      </c>
      <c r="H164" t="s">
        <v>30</v>
      </c>
      <c r="I164">
        <v>2</v>
      </c>
      <c r="J164" s="3">
        <v>297500</v>
      </c>
      <c r="K164" s="3">
        <v>371900</v>
      </c>
      <c r="L164" s="3">
        <v>743800</v>
      </c>
      <c r="M164" s="3">
        <v>148800</v>
      </c>
      <c r="N164" t="s">
        <v>40</v>
      </c>
      <c r="O164" t="s">
        <v>24</v>
      </c>
      <c r="P164">
        <v>180</v>
      </c>
    </row>
    <row r="165" spans="1:16" hidden="1" x14ac:dyDescent="0.35">
      <c r="A165" t="s">
        <v>248</v>
      </c>
      <c r="B165" s="2">
        <v>46137</v>
      </c>
      <c r="C165" t="s">
        <v>87</v>
      </c>
      <c r="D165" t="s">
        <v>88</v>
      </c>
      <c r="E165" t="s">
        <v>75</v>
      </c>
      <c r="F165" t="s">
        <v>76</v>
      </c>
      <c r="G165" t="s">
        <v>29</v>
      </c>
      <c r="H165" t="s">
        <v>30</v>
      </c>
      <c r="I165">
        <v>1</v>
      </c>
      <c r="J165" s="3">
        <v>47400</v>
      </c>
      <c r="K165" s="3">
        <v>53100</v>
      </c>
      <c r="L165" s="3">
        <v>53100</v>
      </c>
      <c r="M165" s="3">
        <v>5700</v>
      </c>
      <c r="N165" t="s">
        <v>23</v>
      </c>
      <c r="O165" t="s">
        <v>24</v>
      </c>
      <c r="P165">
        <v>90</v>
      </c>
    </row>
    <row r="166" spans="1:16" hidden="1" x14ac:dyDescent="0.35">
      <c r="A166" t="s">
        <v>249</v>
      </c>
      <c r="B166" s="2">
        <v>46261</v>
      </c>
      <c r="C166" t="s">
        <v>42</v>
      </c>
      <c r="D166" t="s">
        <v>43</v>
      </c>
      <c r="E166" t="s">
        <v>44</v>
      </c>
      <c r="F166" t="s">
        <v>28</v>
      </c>
      <c r="G166" t="s">
        <v>39</v>
      </c>
      <c r="H166" t="s">
        <v>22</v>
      </c>
      <c r="I166">
        <v>-1</v>
      </c>
      <c r="J166" s="3">
        <v>196100</v>
      </c>
      <c r="K166" s="3">
        <v>224400</v>
      </c>
      <c r="L166" s="3">
        <v>-224400</v>
      </c>
      <c r="M166" s="3">
        <v>-28300</v>
      </c>
      <c r="N166" t="s">
        <v>37</v>
      </c>
      <c r="O166" t="s">
        <v>60</v>
      </c>
      <c r="P166">
        <v>180</v>
      </c>
    </row>
    <row r="167" spans="1:16" hidden="1" x14ac:dyDescent="0.35">
      <c r="A167" t="s">
        <v>250</v>
      </c>
      <c r="B167" s="2">
        <v>46176</v>
      </c>
      <c r="C167" t="s">
        <v>69</v>
      </c>
      <c r="D167" t="s">
        <v>70</v>
      </c>
      <c r="E167" t="s">
        <v>54</v>
      </c>
      <c r="F167" t="s">
        <v>64</v>
      </c>
      <c r="G167" t="s">
        <v>21</v>
      </c>
      <c r="H167" t="s">
        <v>22</v>
      </c>
      <c r="I167">
        <v>2</v>
      </c>
      <c r="J167" s="3">
        <v>22000</v>
      </c>
      <c r="K167" s="3">
        <v>27400</v>
      </c>
      <c r="L167" s="3">
        <v>54800</v>
      </c>
      <c r="M167" s="3">
        <v>10800</v>
      </c>
      <c r="N167" t="s">
        <v>31</v>
      </c>
      <c r="O167" t="s">
        <v>24</v>
      </c>
      <c r="P167">
        <v>30</v>
      </c>
    </row>
    <row r="168" spans="1:16" hidden="1" x14ac:dyDescent="0.35">
      <c r="A168" t="s">
        <v>251</v>
      </c>
      <c r="B168" s="2">
        <v>46211</v>
      </c>
      <c r="C168" t="s">
        <v>66</v>
      </c>
      <c r="D168" t="s">
        <v>67</v>
      </c>
      <c r="E168" t="s">
        <v>44</v>
      </c>
      <c r="F168" t="s">
        <v>20</v>
      </c>
      <c r="G168" t="s">
        <v>39</v>
      </c>
      <c r="H168" t="s">
        <v>22</v>
      </c>
      <c r="I168">
        <v>-2</v>
      </c>
      <c r="J168" s="3">
        <v>232800</v>
      </c>
      <c r="K168" s="3">
        <v>269500</v>
      </c>
      <c r="L168" s="3">
        <v>-539000</v>
      </c>
      <c r="M168" s="3">
        <v>-73400</v>
      </c>
      <c r="N168" t="s">
        <v>37</v>
      </c>
      <c r="O168" t="s">
        <v>60</v>
      </c>
      <c r="P168">
        <v>180</v>
      </c>
    </row>
    <row r="169" spans="1:16" x14ac:dyDescent="0.35">
      <c r="A169" t="s">
        <v>252</v>
      </c>
      <c r="B169" s="2">
        <v>46209</v>
      </c>
      <c r="C169" t="s">
        <v>87</v>
      </c>
      <c r="D169" t="s">
        <v>88</v>
      </c>
      <c r="E169" t="s">
        <v>75</v>
      </c>
      <c r="F169" t="s">
        <v>76</v>
      </c>
      <c r="G169" t="s">
        <v>39</v>
      </c>
      <c r="H169" t="s">
        <v>35</v>
      </c>
      <c r="I169">
        <v>1</v>
      </c>
      <c r="J169" s="3">
        <v>27200</v>
      </c>
      <c r="K169" s="3">
        <v>32600</v>
      </c>
      <c r="L169" s="3">
        <v>32600</v>
      </c>
      <c r="M169" s="3">
        <v>5400</v>
      </c>
      <c r="N169" t="s">
        <v>40</v>
      </c>
      <c r="O169" t="s">
        <v>24</v>
      </c>
      <c r="P169">
        <v>90</v>
      </c>
    </row>
    <row r="170" spans="1:16" hidden="1" x14ac:dyDescent="0.35">
      <c r="A170" t="s">
        <v>253</v>
      </c>
      <c r="B170" s="2">
        <v>46207</v>
      </c>
      <c r="C170" t="s">
        <v>17</v>
      </c>
      <c r="D170" t="s">
        <v>18</v>
      </c>
      <c r="E170" t="s">
        <v>19</v>
      </c>
      <c r="F170" t="s">
        <v>20</v>
      </c>
      <c r="G170" t="s">
        <v>77</v>
      </c>
      <c r="H170" t="s">
        <v>50</v>
      </c>
      <c r="I170">
        <v>1</v>
      </c>
      <c r="J170" s="3">
        <v>288000</v>
      </c>
      <c r="K170" s="3">
        <v>364900</v>
      </c>
      <c r="L170" s="3">
        <v>364900</v>
      </c>
      <c r="M170" s="3">
        <v>76900</v>
      </c>
      <c r="N170" t="s">
        <v>37</v>
      </c>
      <c r="O170" t="s">
        <v>24</v>
      </c>
      <c r="P170">
        <v>180</v>
      </c>
    </row>
    <row r="171" spans="1:16" hidden="1" x14ac:dyDescent="0.35">
      <c r="A171" t="s">
        <v>254</v>
      </c>
      <c r="B171" s="2">
        <v>46045</v>
      </c>
      <c r="C171" t="s">
        <v>87</v>
      </c>
      <c r="D171" t="s">
        <v>88</v>
      </c>
      <c r="E171" t="s">
        <v>75</v>
      </c>
      <c r="F171" t="s">
        <v>76</v>
      </c>
      <c r="G171" t="s">
        <v>77</v>
      </c>
      <c r="H171" t="s">
        <v>50</v>
      </c>
      <c r="I171">
        <v>1</v>
      </c>
      <c r="J171" s="3">
        <v>56600</v>
      </c>
      <c r="K171" s="3">
        <v>72600</v>
      </c>
      <c r="L171" s="3">
        <v>72600</v>
      </c>
      <c r="M171" s="3">
        <v>16000</v>
      </c>
      <c r="N171" t="s">
        <v>23</v>
      </c>
      <c r="O171" t="s">
        <v>45</v>
      </c>
      <c r="P171">
        <v>90</v>
      </c>
    </row>
    <row r="172" spans="1:16" hidden="1" x14ac:dyDescent="0.35">
      <c r="A172" t="s">
        <v>255</v>
      </c>
      <c r="B172" s="2">
        <v>46269</v>
      </c>
      <c r="C172" t="s">
        <v>90</v>
      </c>
      <c r="D172" t="s">
        <v>91</v>
      </c>
      <c r="E172" t="s">
        <v>19</v>
      </c>
      <c r="F172" t="s">
        <v>92</v>
      </c>
      <c r="G172" t="s">
        <v>77</v>
      </c>
      <c r="H172" t="s">
        <v>22</v>
      </c>
      <c r="I172">
        <v>1</v>
      </c>
      <c r="J172" s="3">
        <v>304000</v>
      </c>
      <c r="K172" s="3">
        <v>359700</v>
      </c>
      <c r="L172" s="3">
        <v>359700</v>
      </c>
      <c r="M172" s="3">
        <v>55700</v>
      </c>
      <c r="N172" t="s">
        <v>40</v>
      </c>
      <c r="O172" t="s">
        <v>45</v>
      </c>
      <c r="P172">
        <v>180</v>
      </c>
    </row>
    <row r="173" spans="1:16" x14ac:dyDescent="0.35">
      <c r="A173" t="s">
        <v>256</v>
      </c>
      <c r="B173" s="2">
        <v>46166</v>
      </c>
      <c r="C173" t="s">
        <v>42</v>
      </c>
      <c r="D173" t="s">
        <v>43</v>
      </c>
      <c r="E173" t="s">
        <v>44</v>
      </c>
      <c r="F173" t="s">
        <v>28</v>
      </c>
      <c r="G173" t="s">
        <v>39</v>
      </c>
      <c r="H173" t="s">
        <v>35</v>
      </c>
      <c r="I173">
        <v>3</v>
      </c>
      <c r="J173" s="3">
        <v>209300</v>
      </c>
      <c r="K173" s="3">
        <v>267100</v>
      </c>
      <c r="L173" s="3">
        <v>801300</v>
      </c>
      <c r="M173" s="3">
        <v>173400</v>
      </c>
      <c r="N173" t="s">
        <v>37</v>
      </c>
      <c r="O173" t="s">
        <v>24</v>
      </c>
      <c r="P173">
        <v>180</v>
      </c>
    </row>
    <row r="174" spans="1:16" x14ac:dyDescent="0.35">
      <c r="A174" t="s">
        <v>257</v>
      </c>
      <c r="B174" s="2">
        <v>46281</v>
      </c>
      <c r="C174" t="s">
        <v>52</v>
      </c>
      <c r="D174" t="s">
        <v>53</v>
      </c>
      <c r="E174" t="s">
        <v>54</v>
      </c>
      <c r="F174" t="s">
        <v>55</v>
      </c>
      <c r="G174" t="s">
        <v>21</v>
      </c>
      <c r="H174" t="s">
        <v>35</v>
      </c>
      <c r="I174">
        <v>1</v>
      </c>
      <c r="J174" s="3">
        <v>27800</v>
      </c>
      <c r="K174" s="3">
        <v>36100</v>
      </c>
      <c r="L174" s="3">
        <v>36100</v>
      </c>
      <c r="M174" s="3">
        <v>8300</v>
      </c>
      <c r="N174" t="s">
        <v>31</v>
      </c>
      <c r="O174" t="s">
        <v>24</v>
      </c>
      <c r="P174">
        <v>30</v>
      </c>
    </row>
    <row r="175" spans="1:16" hidden="1" x14ac:dyDescent="0.35">
      <c r="A175" t="s">
        <v>258</v>
      </c>
      <c r="B175" s="2">
        <v>46177</v>
      </c>
      <c r="C175" t="s">
        <v>26</v>
      </c>
      <c r="D175" t="s">
        <v>27</v>
      </c>
      <c r="E175" t="s">
        <v>19</v>
      </c>
      <c r="F175" t="s">
        <v>28</v>
      </c>
      <c r="G175" t="s">
        <v>77</v>
      </c>
      <c r="H175" t="s">
        <v>22</v>
      </c>
      <c r="I175">
        <v>2</v>
      </c>
      <c r="J175" s="3">
        <v>281800</v>
      </c>
      <c r="K175" s="3">
        <v>320100</v>
      </c>
      <c r="L175" s="3">
        <v>640200</v>
      </c>
      <c r="M175" s="3">
        <v>76600</v>
      </c>
      <c r="N175" t="s">
        <v>23</v>
      </c>
      <c r="O175" t="s">
        <v>24</v>
      </c>
      <c r="P175">
        <v>180</v>
      </c>
    </row>
    <row r="176" spans="1:16" x14ac:dyDescent="0.35">
      <c r="A176" t="s">
        <v>259</v>
      </c>
      <c r="B176" s="2">
        <v>46112</v>
      </c>
      <c r="C176" t="s">
        <v>57</v>
      </c>
      <c r="D176" t="s">
        <v>58</v>
      </c>
      <c r="E176" t="s">
        <v>49</v>
      </c>
      <c r="F176" t="s">
        <v>59</v>
      </c>
      <c r="G176" t="s">
        <v>21</v>
      </c>
      <c r="H176" t="s">
        <v>35</v>
      </c>
      <c r="I176">
        <v>2</v>
      </c>
      <c r="J176" s="3">
        <v>101400</v>
      </c>
      <c r="K176" s="3">
        <v>119800</v>
      </c>
      <c r="L176" s="3">
        <v>239600</v>
      </c>
      <c r="M176" s="3">
        <v>36800</v>
      </c>
      <c r="N176" t="s">
        <v>37</v>
      </c>
      <c r="O176" t="s">
        <v>45</v>
      </c>
      <c r="P176">
        <v>90</v>
      </c>
    </row>
    <row r="177" spans="1:16" hidden="1" x14ac:dyDescent="0.35">
      <c r="A177" t="s">
        <v>260</v>
      </c>
      <c r="B177" s="2">
        <v>46167</v>
      </c>
      <c r="C177" t="s">
        <v>101</v>
      </c>
      <c r="D177" t="s">
        <v>102</v>
      </c>
      <c r="E177" t="s">
        <v>19</v>
      </c>
      <c r="F177" t="s">
        <v>83</v>
      </c>
      <c r="G177" t="s">
        <v>39</v>
      </c>
      <c r="H177" t="s">
        <v>22</v>
      </c>
      <c r="I177">
        <v>2</v>
      </c>
      <c r="J177" s="3">
        <v>281800</v>
      </c>
      <c r="K177" s="3">
        <v>367000</v>
      </c>
      <c r="L177" s="3">
        <v>734000</v>
      </c>
      <c r="M177" s="3">
        <v>170400</v>
      </c>
      <c r="N177" t="s">
        <v>37</v>
      </c>
      <c r="O177" t="s">
        <v>45</v>
      </c>
      <c r="P177">
        <v>180</v>
      </c>
    </row>
    <row r="178" spans="1:16" hidden="1" x14ac:dyDescent="0.35">
      <c r="A178" t="s">
        <v>261</v>
      </c>
      <c r="B178" s="2">
        <v>46100</v>
      </c>
      <c r="C178" t="s">
        <v>47</v>
      </c>
      <c r="D178" t="s">
        <v>48</v>
      </c>
      <c r="E178" t="s">
        <v>49</v>
      </c>
      <c r="F178" t="s">
        <v>20</v>
      </c>
      <c r="G178" t="s">
        <v>21</v>
      </c>
      <c r="H178" t="s">
        <v>22</v>
      </c>
      <c r="I178">
        <v>1</v>
      </c>
      <c r="J178" s="3">
        <v>93200</v>
      </c>
      <c r="K178" s="3">
        <v>118400</v>
      </c>
      <c r="L178" s="3">
        <v>118400</v>
      </c>
      <c r="M178" s="3">
        <v>25200</v>
      </c>
      <c r="N178" t="s">
        <v>40</v>
      </c>
      <c r="O178" t="s">
        <v>24</v>
      </c>
      <c r="P178">
        <v>90</v>
      </c>
    </row>
    <row r="179" spans="1:16" hidden="1" x14ac:dyDescent="0.35">
      <c r="A179" t="s">
        <v>262</v>
      </c>
      <c r="B179" s="2">
        <v>46043</v>
      </c>
      <c r="C179" t="s">
        <v>26</v>
      </c>
      <c r="D179" t="s">
        <v>27</v>
      </c>
      <c r="E179" t="s">
        <v>19</v>
      </c>
      <c r="F179" t="s">
        <v>28</v>
      </c>
      <c r="G179" t="s">
        <v>29</v>
      </c>
      <c r="H179" t="s">
        <v>30</v>
      </c>
      <c r="I179">
        <v>-1</v>
      </c>
      <c r="J179" s="3">
        <v>213000</v>
      </c>
      <c r="K179" s="3">
        <v>266000</v>
      </c>
      <c r="L179" s="3">
        <v>-266000</v>
      </c>
      <c r="M179" s="3">
        <v>-53000</v>
      </c>
      <c r="N179" t="s">
        <v>31</v>
      </c>
      <c r="O179" t="s">
        <v>60</v>
      </c>
      <c r="P179">
        <v>180</v>
      </c>
    </row>
    <row r="180" spans="1:16" x14ac:dyDescent="0.35">
      <c r="A180" t="s">
        <v>263</v>
      </c>
      <c r="B180" s="2">
        <v>46230</v>
      </c>
      <c r="C180" t="s">
        <v>47</v>
      </c>
      <c r="D180" t="s">
        <v>48</v>
      </c>
      <c r="E180" t="s">
        <v>49</v>
      </c>
      <c r="F180" t="s">
        <v>20</v>
      </c>
      <c r="G180" t="s">
        <v>77</v>
      </c>
      <c r="H180" t="s">
        <v>35</v>
      </c>
      <c r="I180">
        <v>1</v>
      </c>
      <c r="J180" s="3">
        <v>89400</v>
      </c>
      <c r="K180" s="3">
        <v>101500</v>
      </c>
      <c r="L180" s="3">
        <v>101500</v>
      </c>
      <c r="M180" s="3">
        <v>12100</v>
      </c>
      <c r="N180" t="s">
        <v>40</v>
      </c>
      <c r="O180" t="s">
        <v>24</v>
      </c>
      <c r="P180">
        <v>90</v>
      </c>
    </row>
    <row r="181" spans="1:16" x14ac:dyDescent="0.35">
      <c r="A181" t="s">
        <v>264</v>
      </c>
      <c r="B181" s="2">
        <v>46087</v>
      </c>
      <c r="C181" t="s">
        <v>17</v>
      </c>
      <c r="D181" t="s">
        <v>18</v>
      </c>
      <c r="E181" t="s">
        <v>19</v>
      </c>
      <c r="F181" t="s">
        <v>20</v>
      </c>
      <c r="G181" t="s">
        <v>77</v>
      </c>
      <c r="H181" t="s">
        <v>35</v>
      </c>
      <c r="I181">
        <v>-1</v>
      </c>
      <c r="J181" s="3">
        <v>183600</v>
      </c>
      <c r="K181" s="3">
        <v>212500</v>
      </c>
      <c r="L181" s="3">
        <v>-212500</v>
      </c>
      <c r="M181" s="3">
        <v>-28900</v>
      </c>
      <c r="N181" t="s">
        <v>37</v>
      </c>
      <c r="O181" t="s">
        <v>60</v>
      </c>
      <c r="P181">
        <v>180</v>
      </c>
    </row>
    <row r="182" spans="1:16" hidden="1" x14ac:dyDescent="0.35">
      <c r="A182" t="s">
        <v>265</v>
      </c>
      <c r="B182" s="2">
        <v>46129</v>
      </c>
      <c r="C182" t="s">
        <v>90</v>
      </c>
      <c r="D182" t="s">
        <v>91</v>
      </c>
      <c r="E182" t="s">
        <v>19</v>
      </c>
      <c r="F182" t="s">
        <v>92</v>
      </c>
      <c r="G182" t="s">
        <v>39</v>
      </c>
      <c r="H182" t="s">
        <v>50</v>
      </c>
      <c r="I182">
        <v>3</v>
      </c>
      <c r="J182" s="3">
        <v>319500</v>
      </c>
      <c r="K182" s="3">
        <v>376100</v>
      </c>
      <c r="L182" s="3">
        <v>1128300</v>
      </c>
      <c r="M182" s="3">
        <v>169800</v>
      </c>
      <c r="N182" t="s">
        <v>23</v>
      </c>
      <c r="O182" t="s">
        <v>45</v>
      </c>
      <c r="P182">
        <v>180</v>
      </c>
    </row>
    <row r="183" spans="1:16" x14ac:dyDescent="0.35">
      <c r="A183" t="s">
        <v>266</v>
      </c>
      <c r="B183" s="2">
        <v>46204</v>
      </c>
      <c r="C183" t="s">
        <v>62</v>
      </c>
      <c r="D183" t="s">
        <v>63</v>
      </c>
      <c r="E183" t="s">
        <v>54</v>
      </c>
      <c r="F183" t="s">
        <v>64</v>
      </c>
      <c r="G183" t="s">
        <v>39</v>
      </c>
      <c r="H183" t="s">
        <v>35</v>
      </c>
      <c r="I183">
        <v>5</v>
      </c>
      <c r="J183" s="3">
        <v>11800</v>
      </c>
      <c r="K183" s="3">
        <v>14900</v>
      </c>
      <c r="L183" s="3">
        <v>74500</v>
      </c>
      <c r="M183" s="3">
        <v>15500</v>
      </c>
      <c r="N183" t="s">
        <v>31</v>
      </c>
      <c r="O183" t="s">
        <v>24</v>
      </c>
      <c r="P183">
        <v>30</v>
      </c>
    </row>
    <row r="184" spans="1:16" hidden="1" x14ac:dyDescent="0.35">
      <c r="A184" t="s">
        <v>267</v>
      </c>
      <c r="B184" s="2">
        <v>46287</v>
      </c>
      <c r="C184" t="s">
        <v>95</v>
      </c>
      <c r="D184" t="s">
        <v>96</v>
      </c>
      <c r="E184" t="s">
        <v>19</v>
      </c>
      <c r="F184" t="s">
        <v>28</v>
      </c>
      <c r="G184" t="s">
        <v>29</v>
      </c>
      <c r="H184" t="s">
        <v>22</v>
      </c>
      <c r="I184">
        <v>2</v>
      </c>
      <c r="J184" s="3">
        <v>279700</v>
      </c>
      <c r="K184" s="3">
        <v>365100</v>
      </c>
      <c r="L184" s="3">
        <v>730200</v>
      </c>
      <c r="M184" s="3">
        <v>170800</v>
      </c>
      <c r="N184" t="s">
        <v>40</v>
      </c>
      <c r="O184" t="s">
        <v>24</v>
      </c>
      <c r="P184">
        <v>180</v>
      </c>
    </row>
    <row r="185" spans="1:16" hidden="1" x14ac:dyDescent="0.35">
      <c r="A185" t="s">
        <v>268</v>
      </c>
      <c r="B185" s="2">
        <v>46215</v>
      </c>
      <c r="C185" t="s">
        <v>111</v>
      </c>
      <c r="D185" t="s">
        <v>112</v>
      </c>
      <c r="E185" t="s">
        <v>19</v>
      </c>
      <c r="F185" t="s">
        <v>83</v>
      </c>
      <c r="G185" t="s">
        <v>21</v>
      </c>
      <c r="H185" t="s">
        <v>50</v>
      </c>
      <c r="I185">
        <v>-1</v>
      </c>
      <c r="J185" s="3">
        <v>213100</v>
      </c>
      <c r="K185" s="3">
        <v>259700</v>
      </c>
      <c r="L185" s="3">
        <v>-259700</v>
      </c>
      <c r="M185" s="3">
        <v>-46600</v>
      </c>
      <c r="N185" t="s">
        <v>23</v>
      </c>
      <c r="O185" t="s">
        <v>60</v>
      </c>
      <c r="P185">
        <v>180</v>
      </c>
    </row>
    <row r="186" spans="1:16" hidden="1" x14ac:dyDescent="0.35">
      <c r="A186" t="s">
        <v>269</v>
      </c>
      <c r="B186" s="2">
        <v>46237</v>
      </c>
      <c r="C186" t="s">
        <v>26</v>
      </c>
      <c r="D186" t="s">
        <v>27</v>
      </c>
      <c r="E186" t="s">
        <v>19</v>
      </c>
      <c r="F186" t="s">
        <v>28</v>
      </c>
      <c r="G186" t="s">
        <v>21</v>
      </c>
      <c r="H186" t="s">
        <v>22</v>
      </c>
      <c r="I186">
        <v>-2</v>
      </c>
      <c r="J186" s="3">
        <v>223300</v>
      </c>
      <c r="K186" s="3">
        <v>294700</v>
      </c>
      <c r="L186" s="3">
        <v>-589400</v>
      </c>
      <c r="M186" s="3">
        <v>-142800</v>
      </c>
      <c r="N186" t="s">
        <v>40</v>
      </c>
      <c r="O186" t="s">
        <v>60</v>
      </c>
      <c r="P186">
        <v>180</v>
      </c>
    </row>
    <row r="187" spans="1:16" hidden="1" x14ac:dyDescent="0.35">
      <c r="A187" t="s">
        <v>270</v>
      </c>
      <c r="B187" s="2">
        <v>46092</v>
      </c>
      <c r="C187" t="s">
        <v>57</v>
      </c>
      <c r="D187" t="s">
        <v>58</v>
      </c>
      <c r="E187" t="s">
        <v>49</v>
      </c>
      <c r="F187" t="s">
        <v>59</v>
      </c>
      <c r="G187" t="s">
        <v>29</v>
      </c>
      <c r="H187" t="s">
        <v>50</v>
      </c>
      <c r="I187">
        <v>2</v>
      </c>
      <c r="J187" s="3">
        <v>100300</v>
      </c>
      <c r="K187" s="3">
        <v>121400</v>
      </c>
      <c r="L187" s="3">
        <v>242800</v>
      </c>
      <c r="M187" s="3">
        <v>42200</v>
      </c>
      <c r="N187" t="s">
        <v>37</v>
      </c>
      <c r="O187" t="s">
        <v>24</v>
      </c>
      <c r="P187">
        <v>90</v>
      </c>
    </row>
    <row r="188" spans="1:16" hidden="1" x14ac:dyDescent="0.35">
      <c r="A188" t="s">
        <v>271</v>
      </c>
      <c r="B188" s="2">
        <v>46182</v>
      </c>
      <c r="C188" t="s">
        <v>73</v>
      </c>
      <c r="D188" t="s">
        <v>74</v>
      </c>
      <c r="E188" t="s">
        <v>75</v>
      </c>
      <c r="F188" t="s">
        <v>76</v>
      </c>
      <c r="G188" t="s">
        <v>29</v>
      </c>
      <c r="H188" t="s">
        <v>50</v>
      </c>
      <c r="I188">
        <v>1</v>
      </c>
      <c r="J188" s="3">
        <v>70500</v>
      </c>
      <c r="K188" s="3">
        <v>79700</v>
      </c>
      <c r="L188" s="3">
        <v>79700</v>
      </c>
      <c r="M188" s="3">
        <v>9200</v>
      </c>
      <c r="N188" t="s">
        <v>31</v>
      </c>
      <c r="O188" t="s">
        <v>24</v>
      </c>
      <c r="P188">
        <v>90</v>
      </c>
    </row>
    <row r="189" spans="1:16" x14ac:dyDescent="0.35">
      <c r="A189" t="s">
        <v>272</v>
      </c>
      <c r="B189" s="2">
        <v>46155</v>
      </c>
      <c r="C189" t="s">
        <v>66</v>
      </c>
      <c r="D189" t="s">
        <v>67</v>
      </c>
      <c r="E189" t="s">
        <v>44</v>
      </c>
      <c r="F189" t="s">
        <v>20</v>
      </c>
      <c r="G189" t="s">
        <v>29</v>
      </c>
      <c r="H189" t="s">
        <v>35</v>
      </c>
      <c r="I189">
        <v>3</v>
      </c>
      <c r="J189" s="3">
        <v>208100</v>
      </c>
      <c r="K189" s="3">
        <v>272200</v>
      </c>
      <c r="L189" s="3">
        <v>816600</v>
      </c>
      <c r="M189" s="3">
        <v>192300</v>
      </c>
      <c r="N189" t="s">
        <v>40</v>
      </c>
      <c r="O189" t="s">
        <v>24</v>
      </c>
      <c r="P189">
        <v>180</v>
      </c>
    </row>
    <row r="190" spans="1:16" x14ac:dyDescent="0.35">
      <c r="A190" t="s">
        <v>273</v>
      </c>
      <c r="B190" s="2">
        <v>46105</v>
      </c>
      <c r="C190" t="s">
        <v>42</v>
      </c>
      <c r="D190" t="s">
        <v>43</v>
      </c>
      <c r="E190" t="s">
        <v>44</v>
      </c>
      <c r="F190" t="s">
        <v>28</v>
      </c>
      <c r="G190" t="s">
        <v>29</v>
      </c>
      <c r="H190" t="s">
        <v>35</v>
      </c>
      <c r="I190">
        <v>-2</v>
      </c>
      <c r="J190" s="3">
        <v>237600</v>
      </c>
      <c r="K190" s="3">
        <v>270600</v>
      </c>
      <c r="L190" s="3">
        <v>-541200</v>
      </c>
      <c r="M190" s="3">
        <v>-66000</v>
      </c>
      <c r="N190" t="s">
        <v>23</v>
      </c>
      <c r="O190" t="s">
        <v>60</v>
      </c>
      <c r="P190">
        <v>180</v>
      </c>
    </row>
    <row r="191" spans="1:16" hidden="1" x14ac:dyDescent="0.35">
      <c r="A191" t="s">
        <v>274</v>
      </c>
      <c r="B191" s="2">
        <v>46134</v>
      </c>
      <c r="C191" t="s">
        <v>33</v>
      </c>
      <c r="D191" t="s">
        <v>34</v>
      </c>
      <c r="E191" t="s">
        <v>19</v>
      </c>
      <c r="F191" t="s">
        <v>20</v>
      </c>
      <c r="G191" t="s">
        <v>21</v>
      </c>
      <c r="H191" t="s">
        <v>22</v>
      </c>
      <c r="I191">
        <v>2</v>
      </c>
      <c r="J191" s="3">
        <v>191400</v>
      </c>
      <c r="K191" s="3">
        <v>250700</v>
      </c>
      <c r="L191" s="3">
        <v>501400</v>
      </c>
      <c r="M191" s="3">
        <v>118600</v>
      </c>
      <c r="N191" t="s">
        <v>37</v>
      </c>
      <c r="O191" t="s">
        <v>24</v>
      </c>
      <c r="P191">
        <v>180</v>
      </c>
    </row>
    <row r="192" spans="1:16" hidden="1" x14ac:dyDescent="0.35">
      <c r="A192" t="s">
        <v>275</v>
      </c>
      <c r="B192" s="2">
        <v>46179</v>
      </c>
      <c r="C192" t="s">
        <v>134</v>
      </c>
      <c r="D192" t="s">
        <v>135</v>
      </c>
      <c r="E192" t="s">
        <v>106</v>
      </c>
      <c r="F192" t="s">
        <v>76</v>
      </c>
      <c r="G192" t="s">
        <v>21</v>
      </c>
      <c r="H192" t="s">
        <v>22</v>
      </c>
      <c r="I192">
        <v>1</v>
      </c>
      <c r="J192" s="3">
        <v>28700</v>
      </c>
      <c r="K192" s="3">
        <v>37600</v>
      </c>
      <c r="L192" s="3">
        <v>37600</v>
      </c>
      <c r="M192" s="3">
        <v>8900</v>
      </c>
      <c r="N192" t="s">
        <v>23</v>
      </c>
      <c r="O192" t="s">
        <v>45</v>
      </c>
      <c r="P192">
        <v>90</v>
      </c>
    </row>
    <row r="193" spans="1:16" x14ac:dyDescent="0.35">
      <c r="A193" t="s">
        <v>276</v>
      </c>
      <c r="B193" s="2">
        <v>46100</v>
      </c>
      <c r="C193" t="s">
        <v>95</v>
      </c>
      <c r="D193" t="s">
        <v>96</v>
      </c>
      <c r="E193" t="s">
        <v>19</v>
      </c>
      <c r="F193" t="s">
        <v>28</v>
      </c>
      <c r="G193" t="s">
        <v>77</v>
      </c>
      <c r="H193" t="s">
        <v>35</v>
      </c>
      <c r="I193">
        <v>-1</v>
      </c>
      <c r="J193" s="3">
        <v>241500</v>
      </c>
      <c r="K193" s="3">
        <v>293900</v>
      </c>
      <c r="L193" s="3">
        <v>-293900</v>
      </c>
      <c r="M193" s="3">
        <v>-52400</v>
      </c>
      <c r="N193" t="s">
        <v>31</v>
      </c>
      <c r="O193" t="s">
        <v>60</v>
      </c>
      <c r="P193">
        <v>180</v>
      </c>
    </row>
    <row r="194" spans="1:16" hidden="1" x14ac:dyDescent="0.35">
      <c r="A194" t="s">
        <v>277</v>
      </c>
      <c r="B194" s="2">
        <v>46150</v>
      </c>
      <c r="C194" t="s">
        <v>52</v>
      </c>
      <c r="D194" t="s">
        <v>53</v>
      </c>
      <c r="E194" t="s">
        <v>54</v>
      </c>
      <c r="F194" t="s">
        <v>55</v>
      </c>
      <c r="G194" t="s">
        <v>21</v>
      </c>
      <c r="H194" t="s">
        <v>22</v>
      </c>
      <c r="I194">
        <v>2</v>
      </c>
      <c r="J194" s="3">
        <v>10700</v>
      </c>
      <c r="K194" s="3">
        <v>12800</v>
      </c>
      <c r="L194" s="3">
        <v>25600</v>
      </c>
      <c r="M194" s="3">
        <v>4200</v>
      </c>
      <c r="N194" t="s">
        <v>31</v>
      </c>
      <c r="O194" t="s">
        <v>24</v>
      </c>
      <c r="P194">
        <v>30</v>
      </c>
    </row>
    <row r="195" spans="1:16" hidden="1" x14ac:dyDescent="0.35">
      <c r="A195" t="s">
        <v>278</v>
      </c>
      <c r="B195" s="2">
        <v>46241</v>
      </c>
      <c r="C195" t="s">
        <v>62</v>
      </c>
      <c r="D195" t="s">
        <v>63</v>
      </c>
      <c r="E195" t="s">
        <v>54</v>
      </c>
      <c r="F195" t="s">
        <v>64</v>
      </c>
      <c r="G195" t="s">
        <v>29</v>
      </c>
      <c r="H195" t="s">
        <v>50</v>
      </c>
      <c r="I195">
        <v>1</v>
      </c>
      <c r="J195" s="3">
        <v>13900</v>
      </c>
      <c r="K195" s="3">
        <v>15800</v>
      </c>
      <c r="L195" s="3">
        <v>15800</v>
      </c>
      <c r="M195" s="3">
        <v>1900</v>
      </c>
      <c r="N195" t="s">
        <v>31</v>
      </c>
      <c r="O195" t="s">
        <v>45</v>
      </c>
      <c r="P195">
        <v>30</v>
      </c>
    </row>
    <row r="196" spans="1:16" x14ac:dyDescent="0.35">
      <c r="A196" t="s">
        <v>279</v>
      </c>
      <c r="B196" s="2">
        <v>46266</v>
      </c>
      <c r="C196" t="s">
        <v>104</v>
      </c>
      <c r="D196" t="s">
        <v>105</v>
      </c>
      <c r="E196" t="s">
        <v>106</v>
      </c>
      <c r="F196" t="s">
        <v>76</v>
      </c>
      <c r="G196" t="s">
        <v>21</v>
      </c>
      <c r="H196" t="s">
        <v>35</v>
      </c>
      <c r="I196">
        <v>-1</v>
      </c>
      <c r="J196" s="3">
        <v>44700</v>
      </c>
      <c r="K196" s="3">
        <v>51800</v>
      </c>
      <c r="L196" s="3">
        <v>-51800</v>
      </c>
      <c r="M196" s="3">
        <v>-7100</v>
      </c>
      <c r="N196" t="s">
        <v>37</v>
      </c>
      <c r="O196" t="s">
        <v>60</v>
      </c>
      <c r="P196">
        <v>90</v>
      </c>
    </row>
    <row r="197" spans="1:16" hidden="1" x14ac:dyDescent="0.35">
      <c r="A197" t="s">
        <v>280</v>
      </c>
      <c r="B197" s="2">
        <v>46137</v>
      </c>
      <c r="C197" t="s">
        <v>33</v>
      </c>
      <c r="D197" t="s">
        <v>34</v>
      </c>
      <c r="E197" t="s">
        <v>19</v>
      </c>
      <c r="F197" t="s">
        <v>20</v>
      </c>
      <c r="G197" t="s">
        <v>77</v>
      </c>
      <c r="H197" t="s">
        <v>22</v>
      </c>
      <c r="I197">
        <v>1</v>
      </c>
      <c r="J197" s="3">
        <v>192600</v>
      </c>
      <c r="K197" s="3">
        <v>230900</v>
      </c>
      <c r="L197" s="3">
        <v>230900</v>
      </c>
      <c r="M197" s="3">
        <v>38300</v>
      </c>
      <c r="N197" t="s">
        <v>23</v>
      </c>
      <c r="O197" t="s">
        <v>24</v>
      </c>
      <c r="P197">
        <v>180</v>
      </c>
    </row>
    <row r="198" spans="1:16" hidden="1" x14ac:dyDescent="0.35">
      <c r="A198" t="s">
        <v>281</v>
      </c>
      <c r="B198" s="2">
        <v>46173</v>
      </c>
      <c r="C198" t="s">
        <v>42</v>
      </c>
      <c r="D198" t="s">
        <v>43</v>
      </c>
      <c r="E198" t="s">
        <v>44</v>
      </c>
      <c r="F198" t="s">
        <v>28</v>
      </c>
      <c r="G198" t="s">
        <v>39</v>
      </c>
      <c r="H198" t="s">
        <v>22</v>
      </c>
      <c r="I198">
        <v>2</v>
      </c>
      <c r="J198" s="3">
        <v>224400</v>
      </c>
      <c r="K198" s="3">
        <v>290900</v>
      </c>
      <c r="L198" s="3">
        <v>581800</v>
      </c>
      <c r="M198" s="3">
        <v>133000</v>
      </c>
      <c r="N198" t="s">
        <v>37</v>
      </c>
      <c r="O198" t="s">
        <v>45</v>
      </c>
      <c r="P198">
        <v>180</v>
      </c>
    </row>
    <row r="199" spans="1:16" hidden="1" x14ac:dyDescent="0.35">
      <c r="A199" t="s">
        <v>282</v>
      </c>
      <c r="B199" s="2">
        <v>46050</v>
      </c>
      <c r="C199" t="s">
        <v>111</v>
      </c>
      <c r="D199" t="s">
        <v>112</v>
      </c>
      <c r="E199" t="s">
        <v>19</v>
      </c>
      <c r="F199" t="s">
        <v>83</v>
      </c>
      <c r="G199" t="s">
        <v>21</v>
      </c>
      <c r="H199" t="s">
        <v>22</v>
      </c>
      <c r="I199">
        <v>2</v>
      </c>
      <c r="J199" s="3">
        <v>303500</v>
      </c>
      <c r="K199" s="3">
        <v>384100</v>
      </c>
      <c r="L199" s="3">
        <v>768200</v>
      </c>
      <c r="M199" s="3">
        <v>161200</v>
      </c>
      <c r="N199" t="s">
        <v>40</v>
      </c>
      <c r="O199" t="s">
        <v>24</v>
      </c>
      <c r="P199">
        <v>180</v>
      </c>
    </row>
    <row r="200" spans="1:16" hidden="1" x14ac:dyDescent="0.35">
      <c r="A200" t="s">
        <v>283</v>
      </c>
      <c r="B200" s="2">
        <v>46170</v>
      </c>
      <c r="C200" t="s">
        <v>47</v>
      </c>
      <c r="D200" t="s">
        <v>48</v>
      </c>
      <c r="E200" t="s">
        <v>49</v>
      </c>
      <c r="F200" t="s">
        <v>20</v>
      </c>
      <c r="G200" t="s">
        <v>39</v>
      </c>
      <c r="H200" t="s">
        <v>50</v>
      </c>
      <c r="I200">
        <v>-1</v>
      </c>
      <c r="J200" s="3">
        <v>95400</v>
      </c>
      <c r="K200" s="3">
        <v>108300</v>
      </c>
      <c r="L200" s="3">
        <v>-108300</v>
      </c>
      <c r="M200" s="3">
        <v>-12900</v>
      </c>
      <c r="N200" t="s">
        <v>23</v>
      </c>
      <c r="O200" t="s">
        <v>60</v>
      </c>
      <c r="P200">
        <v>90</v>
      </c>
    </row>
    <row r="201" spans="1:16" hidden="1" x14ac:dyDescent="0.35">
      <c r="A201" t="s">
        <v>284</v>
      </c>
      <c r="B201" s="2">
        <v>46100</v>
      </c>
      <c r="C201" t="s">
        <v>52</v>
      </c>
      <c r="D201" t="s">
        <v>53</v>
      </c>
      <c r="E201" t="s">
        <v>54</v>
      </c>
      <c r="F201" t="s">
        <v>55</v>
      </c>
      <c r="G201" t="s">
        <v>29</v>
      </c>
      <c r="H201" t="s">
        <v>30</v>
      </c>
      <c r="I201">
        <v>2</v>
      </c>
      <c r="J201" s="3">
        <v>17400</v>
      </c>
      <c r="K201" s="3">
        <v>22900</v>
      </c>
      <c r="L201" s="3">
        <v>45800</v>
      </c>
      <c r="M201" s="3">
        <v>11000</v>
      </c>
      <c r="N201" t="s">
        <v>23</v>
      </c>
      <c r="O201" t="s">
        <v>24</v>
      </c>
      <c r="P201">
        <v>30</v>
      </c>
    </row>
    <row r="202" spans="1:16" hidden="1" x14ac:dyDescent="0.35">
      <c r="A202" t="s">
        <v>285</v>
      </c>
      <c r="B202" s="2">
        <v>46260</v>
      </c>
      <c r="C202" t="s">
        <v>101</v>
      </c>
      <c r="D202" t="s">
        <v>102</v>
      </c>
      <c r="E202" t="s">
        <v>19</v>
      </c>
      <c r="F202" t="s">
        <v>83</v>
      </c>
      <c r="G202" t="s">
        <v>29</v>
      </c>
      <c r="H202" t="s">
        <v>50</v>
      </c>
      <c r="I202">
        <v>-3</v>
      </c>
      <c r="J202" s="3">
        <v>185400</v>
      </c>
      <c r="K202" s="3">
        <v>234100</v>
      </c>
      <c r="L202" s="3">
        <v>-702300</v>
      </c>
      <c r="M202" s="3">
        <v>-146100</v>
      </c>
      <c r="N202" t="s">
        <v>31</v>
      </c>
      <c r="O202" t="s">
        <v>60</v>
      </c>
      <c r="P202">
        <v>180</v>
      </c>
    </row>
    <row r="203" spans="1:16" x14ac:dyDescent="0.35">
      <c r="A203" t="s">
        <v>286</v>
      </c>
      <c r="B203" s="2">
        <v>46199</v>
      </c>
      <c r="C203" t="s">
        <v>69</v>
      </c>
      <c r="D203" t="s">
        <v>70</v>
      </c>
      <c r="E203" t="s">
        <v>54</v>
      </c>
      <c r="F203" t="s">
        <v>64</v>
      </c>
      <c r="G203" t="s">
        <v>21</v>
      </c>
      <c r="H203" t="s">
        <v>35</v>
      </c>
      <c r="I203">
        <v>2</v>
      </c>
      <c r="J203" s="3">
        <v>15900</v>
      </c>
      <c r="K203" s="3">
        <v>19100</v>
      </c>
      <c r="L203" s="3">
        <v>38200</v>
      </c>
      <c r="M203" s="3">
        <v>6400</v>
      </c>
      <c r="N203" t="s">
        <v>37</v>
      </c>
      <c r="O203" t="s">
        <v>24</v>
      </c>
      <c r="P203">
        <v>30</v>
      </c>
    </row>
    <row r="204" spans="1:16" hidden="1" x14ac:dyDescent="0.35">
      <c r="A204" t="s">
        <v>287</v>
      </c>
      <c r="B204" s="2">
        <v>46184</v>
      </c>
      <c r="C204" t="s">
        <v>33</v>
      </c>
      <c r="D204" t="s">
        <v>34</v>
      </c>
      <c r="E204" t="s">
        <v>19</v>
      </c>
      <c r="F204" t="s">
        <v>20</v>
      </c>
      <c r="G204" t="s">
        <v>39</v>
      </c>
      <c r="H204" t="s">
        <v>30</v>
      </c>
      <c r="I204">
        <v>-4</v>
      </c>
      <c r="J204" s="3">
        <v>231600</v>
      </c>
      <c r="K204" s="3">
        <v>290600</v>
      </c>
      <c r="L204" s="3">
        <v>-1162400</v>
      </c>
      <c r="M204" s="3">
        <v>-236000</v>
      </c>
      <c r="N204" t="s">
        <v>31</v>
      </c>
      <c r="O204" t="s">
        <v>60</v>
      </c>
      <c r="P204">
        <v>180</v>
      </c>
    </row>
    <row r="205" spans="1:16" hidden="1" x14ac:dyDescent="0.35">
      <c r="A205" t="s">
        <v>288</v>
      </c>
      <c r="B205" s="2">
        <v>46295</v>
      </c>
      <c r="C205" t="s">
        <v>104</v>
      </c>
      <c r="D205" t="s">
        <v>105</v>
      </c>
      <c r="E205" t="s">
        <v>106</v>
      </c>
      <c r="F205" t="s">
        <v>76</v>
      </c>
      <c r="G205" t="s">
        <v>21</v>
      </c>
      <c r="H205" t="s">
        <v>50</v>
      </c>
      <c r="I205">
        <v>2</v>
      </c>
      <c r="J205" s="3">
        <v>39400</v>
      </c>
      <c r="K205" s="3">
        <v>49800</v>
      </c>
      <c r="L205" s="3">
        <v>99600</v>
      </c>
      <c r="M205" s="3">
        <v>20800</v>
      </c>
      <c r="N205" t="s">
        <v>40</v>
      </c>
      <c r="O205" t="s">
        <v>24</v>
      </c>
      <c r="P205">
        <v>90</v>
      </c>
    </row>
    <row r="206" spans="1:16" hidden="1" x14ac:dyDescent="0.35">
      <c r="A206" t="s">
        <v>289</v>
      </c>
      <c r="B206" s="2">
        <v>46187</v>
      </c>
      <c r="C206" t="s">
        <v>101</v>
      </c>
      <c r="D206" t="s">
        <v>102</v>
      </c>
      <c r="E206" t="s">
        <v>19</v>
      </c>
      <c r="F206" t="s">
        <v>83</v>
      </c>
      <c r="G206" t="s">
        <v>21</v>
      </c>
      <c r="H206" t="s">
        <v>50</v>
      </c>
      <c r="I206">
        <v>1</v>
      </c>
      <c r="J206" s="3">
        <v>260200</v>
      </c>
      <c r="K206" s="3">
        <v>327900</v>
      </c>
      <c r="L206" s="3">
        <v>327900</v>
      </c>
      <c r="M206" s="3">
        <v>67700</v>
      </c>
      <c r="N206" t="s">
        <v>37</v>
      </c>
      <c r="O206" t="s">
        <v>45</v>
      </c>
      <c r="P206">
        <v>180</v>
      </c>
    </row>
    <row r="207" spans="1:16" x14ac:dyDescent="0.35">
      <c r="A207" t="s">
        <v>290</v>
      </c>
      <c r="B207" s="2">
        <v>46097</v>
      </c>
      <c r="C207" t="s">
        <v>90</v>
      </c>
      <c r="D207" t="s">
        <v>91</v>
      </c>
      <c r="E207" t="s">
        <v>19</v>
      </c>
      <c r="F207" t="s">
        <v>92</v>
      </c>
      <c r="G207" t="s">
        <v>29</v>
      </c>
      <c r="H207" t="s">
        <v>35</v>
      </c>
      <c r="I207">
        <v>4</v>
      </c>
      <c r="J207" s="3">
        <v>237500</v>
      </c>
      <c r="K207" s="3">
        <v>302800</v>
      </c>
      <c r="L207" s="3">
        <v>1211200</v>
      </c>
      <c r="M207" s="3">
        <v>261200</v>
      </c>
      <c r="N207" t="s">
        <v>37</v>
      </c>
      <c r="O207" t="s">
        <v>24</v>
      </c>
      <c r="P207">
        <v>180</v>
      </c>
    </row>
    <row r="208" spans="1:16" x14ac:dyDescent="0.35">
      <c r="A208" t="s">
        <v>291</v>
      </c>
      <c r="B208" s="2">
        <v>46202</v>
      </c>
      <c r="C208" t="s">
        <v>73</v>
      </c>
      <c r="D208" t="s">
        <v>74</v>
      </c>
      <c r="E208" t="s">
        <v>75</v>
      </c>
      <c r="F208" t="s">
        <v>76</v>
      </c>
      <c r="G208" t="s">
        <v>77</v>
      </c>
      <c r="H208" t="s">
        <v>35</v>
      </c>
      <c r="I208">
        <v>-1</v>
      </c>
      <c r="J208" s="3">
        <v>43800</v>
      </c>
      <c r="K208" s="3">
        <v>57400</v>
      </c>
      <c r="L208" s="3">
        <v>-57400</v>
      </c>
      <c r="M208" s="3">
        <v>-13600</v>
      </c>
      <c r="N208" t="s">
        <v>37</v>
      </c>
      <c r="O208" t="s">
        <v>60</v>
      </c>
      <c r="P208">
        <v>90</v>
      </c>
    </row>
    <row r="209" spans="1:16" hidden="1" x14ac:dyDescent="0.35">
      <c r="A209" t="s">
        <v>292</v>
      </c>
      <c r="B209" s="2">
        <v>46174</v>
      </c>
      <c r="C209" t="s">
        <v>90</v>
      </c>
      <c r="D209" t="s">
        <v>91</v>
      </c>
      <c r="E209" t="s">
        <v>19</v>
      </c>
      <c r="F209" t="s">
        <v>92</v>
      </c>
      <c r="G209" t="s">
        <v>29</v>
      </c>
      <c r="H209" t="s">
        <v>30</v>
      </c>
      <c r="I209">
        <v>1</v>
      </c>
      <c r="J209" s="3">
        <v>314000</v>
      </c>
      <c r="K209" s="3">
        <v>369200</v>
      </c>
      <c r="L209" s="3">
        <v>369200</v>
      </c>
      <c r="M209" s="3">
        <v>55200</v>
      </c>
      <c r="N209" t="s">
        <v>31</v>
      </c>
      <c r="O209" t="s">
        <v>24</v>
      </c>
      <c r="P209">
        <v>180</v>
      </c>
    </row>
    <row r="210" spans="1:16" hidden="1" x14ac:dyDescent="0.35">
      <c r="A210" t="s">
        <v>293</v>
      </c>
      <c r="B210" s="2">
        <v>46174</v>
      </c>
      <c r="C210" t="s">
        <v>87</v>
      </c>
      <c r="D210" t="s">
        <v>88</v>
      </c>
      <c r="E210" t="s">
        <v>75</v>
      </c>
      <c r="F210" t="s">
        <v>76</v>
      </c>
      <c r="G210" t="s">
        <v>39</v>
      </c>
      <c r="H210" t="s">
        <v>30</v>
      </c>
      <c r="I210">
        <v>2</v>
      </c>
      <c r="J210" s="3">
        <v>42400</v>
      </c>
      <c r="K210" s="3">
        <v>55400</v>
      </c>
      <c r="L210" s="3">
        <v>110800</v>
      </c>
      <c r="M210" s="3">
        <v>26000</v>
      </c>
      <c r="N210" t="s">
        <v>37</v>
      </c>
      <c r="O210" t="s">
        <v>24</v>
      </c>
      <c r="P210">
        <v>90</v>
      </c>
    </row>
    <row r="211" spans="1:16" hidden="1" x14ac:dyDescent="0.35">
      <c r="A211" t="s">
        <v>294</v>
      </c>
      <c r="B211" s="2">
        <v>46067</v>
      </c>
      <c r="C211" t="s">
        <v>47</v>
      </c>
      <c r="D211" t="s">
        <v>48</v>
      </c>
      <c r="E211" t="s">
        <v>49</v>
      </c>
      <c r="F211" t="s">
        <v>20</v>
      </c>
      <c r="G211" t="s">
        <v>77</v>
      </c>
      <c r="H211" t="s">
        <v>30</v>
      </c>
      <c r="I211">
        <v>1</v>
      </c>
      <c r="J211" s="3">
        <v>117500</v>
      </c>
      <c r="K211" s="3">
        <v>150500</v>
      </c>
      <c r="L211" s="3">
        <v>150500</v>
      </c>
      <c r="M211" s="3">
        <v>33000</v>
      </c>
      <c r="N211" t="s">
        <v>31</v>
      </c>
      <c r="O211" t="s">
        <v>24</v>
      </c>
      <c r="P211">
        <v>90</v>
      </c>
    </row>
    <row r="212" spans="1:16" hidden="1" x14ac:dyDescent="0.35">
      <c r="A212" t="s">
        <v>295</v>
      </c>
      <c r="B212" s="2">
        <v>46166</v>
      </c>
      <c r="C212" t="s">
        <v>87</v>
      </c>
      <c r="D212" t="s">
        <v>88</v>
      </c>
      <c r="E212" t="s">
        <v>75</v>
      </c>
      <c r="F212" t="s">
        <v>76</v>
      </c>
      <c r="G212" t="s">
        <v>29</v>
      </c>
      <c r="H212" t="s">
        <v>22</v>
      </c>
      <c r="I212">
        <v>-1</v>
      </c>
      <c r="J212" s="3">
        <v>35700</v>
      </c>
      <c r="K212" s="3">
        <v>45900</v>
      </c>
      <c r="L212" s="3">
        <v>-45900</v>
      </c>
      <c r="M212" s="3">
        <v>-10200</v>
      </c>
      <c r="N212" t="s">
        <v>40</v>
      </c>
      <c r="O212" t="s">
        <v>60</v>
      </c>
      <c r="P212">
        <v>90</v>
      </c>
    </row>
    <row r="213" spans="1:16" hidden="1" x14ac:dyDescent="0.35">
      <c r="A213" t="s">
        <v>296</v>
      </c>
      <c r="B213" s="2">
        <v>46053</v>
      </c>
      <c r="C213" t="s">
        <v>66</v>
      </c>
      <c r="D213" t="s">
        <v>67</v>
      </c>
      <c r="E213" t="s">
        <v>44</v>
      </c>
      <c r="F213" t="s">
        <v>20</v>
      </c>
      <c r="G213" t="s">
        <v>39</v>
      </c>
      <c r="H213" t="s">
        <v>30</v>
      </c>
      <c r="I213">
        <v>1</v>
      </c>
      <c r="J213" s="3">
        <v>175600</v>
      </c>
      <c r="K213" s="3">
        <v>228500</v>
      </c>
      <c r="L213" s="3">
        <v>228500</v>
      </c>
      <c r="M213" s="3">
        <v>52900</v>
      </c>
      <c r="N213" t="s">
        <v>31</v>
      </c>
      <c r="O213" t="s">
        <v>24</v>
      </c>
      <c r="P213">
        <v>180</v>
      </c>
    </row>
    <row r="214" spans="1:16" hidden="1" x14ac:dyDescent="0.35">
      <c r="A214" t="s">
        <v>297</v>
      </c>
      <c r="B214" s="2">
        <v>46107</v>
      </c>
      <c r="C214" t="s">
        <v>87</v>
      </c>
      <c r="D214" t="s">
        <v>88</v>
      </c>
      <c r="E214" t="s">
        <v>75</v>
      </c>
      <c r="F214" t="s">
        <v>76</v>
      </c>
      <c r="G214" t="s">
        <v>21</v>
      </c>
      <c r="H214" t="s">
        <v>30</v>
      </c>
      <c r="I214">
        <v>-1</v>
      </c>
      <c r="J214" s="3">
        <v>30000</v>
      </c>
      <c r="K214" s="3">
        <v>38200</v>
      </c>
      <c r="L214" s="3">
        <v>-38200</v>
      </c>
      <c r="M214" s="3">
        <v>-8200</v>
      </c>
      <c r="N214" t="s">
        <v>37</v>
      </c>
      <c r="O214" t="s">
        <v>60</v>
      </c>
      <c r="P214">
        <v>90</v>
      </c>
    </row>
    <row r="215" spans="1:16" hidden="1" x14ac:dyDescent="0.35">
      <c r="A215" t="s">
        <v>298</v>
      </c>
      <c r="B215" s="2">
        <v>46072</v>
      </c>
      <c r="C215" t="s">
        <v>90</v>
      </c>
      <c r="D215" t="s">
        <v>91</v>
      </c>
      <c r="E215" t="s">
        <v>19</v>
      </c>
      <c r="F215" t="s">
        <v>92</v>
      </c>
      <c r="G215" t="s">
        <v>29</v>
      </c>
      <c r="H215" t="s">
        <v>22</v>
      </c>
      <c r="I215">
        <v>1</v>
      </c>
      <c r="J215" s="3">
        <v>285800</v>
      </c>
      <c r="K215" s="3">
        <v>336500</v>
      </c>
      <c r="L215" s="3">
        <v>336500</v>
      </c>
      <c r="M215" s="3">
        <v>50700</v>
      </c>
      <c r="N215" t="s">
        <v>40</v>
      </c>
      <c r="O215" t="s">
        <v>24</v>
      </c>
      <c r="P215">
        <v>180</v>
      </c>
    </row>
    <row r="216" spans="1:16" x14ac:dyDescent="0.35">
      <c r="A216" t="s">
        <v>299</v>
      </c>
      <c r="B216" s="2">
        <v>46280</v>
      </c>
      <c r="C216" t="s">
        <v>119</v>
      </c>
      <c r="D216" t="s">
        <v>120</v>
      </c>
      <c r="E216" t="s">
        <v>54</v>
      </c>
      <c r="F216" t="s">
        <v>83</v>
      </c>
      <c r="G216" t="s">
        <v>29</v>
      </c>
      <c r="H216" t="s">
        <v>35</v>
      </c>
      <c r="I216">
        <v>3</v>
      </c>
      <c r="J216" s="3">
        <v>31700</v>
      </c>
      <c r="K216" s="3">
        <v>36600</v>
      </c>
      <c r="L216" s="3">
        <v>109800</v>
      </c>
      <c r="M216" s="3">
        <v>14700</v>
      </c>
      <c r="N216" t="s">
        <v>23</v>
      </c>
      <c r="O216" t="s">
        <v>45</v>
      </c>
      <c r="P216">
        <v>30</v>
      </c>
    </row>
    <row r="217" spans="1:16" hidden="1" x14ac:dyDescent="0.35">
      <c r="A217" t="s">
        <v>300</v>
      </c>
      <c r="B217" s="2">
        <v>46172</v>
      </c>
      <c r="C217" t="s">
        <v>33</v>
      </c>
      <c r="D217" t="s">
        <v>34</v>
      </c>
      <c r="E217" t="s">
        <v>19</v>
      </c>
      <c r="F217" t="s">
        <v>20</v>
      </c>
      <c r="G217" t="s">
        <v>21</v>
      </c>
      <c r="H217" t="s">
        <v>30</v>
      </c>
      <c r="I217">
        <v>4</v>
      </c>
      <c r="J217" s="3">
        <v>221800</v>
      </c>
      <c r="K217" s="3">
        <v>275200</v>
      </c>
      <c r="L217" s="3">
        <v>1100800</v>
      </c>
      <c r="M217" s="3">
        <v>213600</v>
      </c>
      <c r="N217" t="s">
        <v>40</v>
      </c>
      <c r="O217" t="s">
        <v>24</v>
      </c>
      <c r="P217">
        <v>180</v>
      </c>
    </row>
    <row r="218" spans="1:16" hidden="1" x14ac:dyDescent="0.35">
      <c r="A218" t="s">
        <v>301</v>
      </c>
      <c r="B218" s="2">
        <v>46261</v>
      </c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50</v>
      </c>
      <c r="I218">
        <v>1</v>
      </c>
      <c r="J218" s="3">
        <v>48400</v>
      </c>
      <c r="K218" s="3">
        <v>56100</v>
      </c>
      <c r="L218" s="3">
        <v>56100</v>
      </c>
      <c r="M218" s="3">
        <v>7700</v>
      </c>
      <c r="N218" t="s">
        <v>23</v>
      </c>
      <c r="O218" t="s">
        <v>24</v>
      </c>
      <c r="P218">
        <v>90</v>
      </c>
    </row>
    <row r="219" spans="1:16" x14ac:dyDescent="0.35">
      <c r="A219" t="s">
        <v>302</v>
      </c>
      <c r="B219" s="2">
        <v>46234</v>
      </c>
      <c r="C219" t="s">
        <v>57</v>
      </c>
      <c r="D219" t="s">
        <v>58</v>
      </c>
      <c r="E219" t="s">
        <v>49</v>
      </c>
      <c r="F219" t="s">
        <v>59</v>
      </c>
      <c r="G219" t="s">
        <v>21</v>
      </c>
      <c r="H219" t="s">
        <v>35</v>
      </c>
      <c r="I219">
        <v>2</v>
      </c>
      <c r="J219" s="3">
        <v>108500</v>
      </c>
      <c r="K219" s="3">
        <v>133800</v>
      </c>
      <c r="L219" s="3">
        <v>267600</v>
      </c>
      <c r="M219" s="3">
        <v>50600</v>
      </c>
      <c r="N219" t="s">
        <v>23</v>
      </c>
      <c r="O219" t="s">
        <v>24</v>
      </c>
      <c r="P219">
        <v>90</v>
      </c>
    </row>
    <row r="220" spans="1:16" x14ac:dyDescent="0.35">
      <c r="A220" t="s">
        <v>303</v>
      </c>
      <c r="B220" s="2">
        <v>46154</v>
      </c>
      <c r="C220" t="s">
        <v>52</v>
      </c>
      <c r="D220" t="s">
        <v>53</v>
      </c>
      <c r="E220" t="s">
        <v>54</v>
      </c>
      <c r="F220" t="s">
        <v>55</v>
      </c>
      <c r="G220" t="s">
        <v>39</v>
      </c>
      <c r="H220" t="s">
        <v>35</v>
      </c>
      <c r="I220">
        <v>1</v>
      </c>
      <c r="J220" s="3">
        <v>25700</v>
      </c>
      <c r="K220" s="3">
        <v>29700</v>
      </c>
      <c r="L220" s="3">
        <v>29700</v>
      </c>
      <c r="M220" s="3">
        <v>4000</v>
      </c>
      <c r="N220" t="s">
        <v>37</v>
      </c>
      <c r="O220" t="s">
        <v>24</v>
      </c>
      <c r="P220">
        <v>30</v>
      </c>
    </row>
    <row r="221" spans="1:16" x14ac:dyDescent="0.35">
      <c r="A221" t="s">
        <v>304</v>
      </c>
      <c r="B221" s="2">
        <v>46032</v>
      </c>
      <c r="C221" t="s">
        <v>66</v>
      </c>
      <c r="D221" t="s">
        <v>67</v>
      </c>
      <c r="E221" t="s">
        <v>44</v>
      </c>
      <c r="F221" t="s">
        <v>20</v>
      </c>
      <c r="G221" t="s">
        <v>77</v>
      </c>
      <c r="H221" t="s">
        <v>35</v>
      </c>
      <c r="I221">
        <v>-1</v>
      </c>
      <c r="J221" s="3">
        <v>219100</v>
      </c>
      <c r="K221" s="3">
        <v>257100</v>
      </c>
      <c r="L221" s="3">
        <v>-257100</v>
      </c>
      <c r="M221" s="3">
        <v>-38000</v>
      </c>
      <c r="N221" t="s">
        <v>40</v>
      </c>
      <c r="O221" t="s">
        <v>60</v>
      </c>
      <c r="P221">
        <v>180</v>
      </c>
    </row>
    <row r="222" spans="1:16" x14ac:dyDescent="0.35">
      <c r="A222" t="s">
        <v>305</v>
      </c>
      <c r="B222" s="2">
        <v>46186</v>
      </c>
      <c r="C222" t="s">
        <v>101</v>
      </c>
      <c r="D222" t="s">
        <v>102</v>
      </c>
      <c r="E222" t="s">
        <v>19</v>
      </c>
      <c r="F222" t="s">
        <v>83</v>
      </c>
      <c r="G222" t="s">
        <v>39</v>
      </c>
      <c r="H222" t="s">
        <v>35</v>
      </c>
      <c r="I222">
        <v>-1</v>
      </c>
      <c r="J222" s="3">
        <v>273500</v>
      </c>
      <c r="K222" s="3">
        <v>331800</v>
      </c>
      <c r="L222" s="3">
        <v>-331800</v>
      </c>
      <c r="M222" s="3">
        <v>-58300</v>
      </c>
      <c r="N222" t="s">
        <v>31</v>
      </c>
      <c r="O222" t="s">
        <v>60</v>
      </c>
      <c r="P222">
        <v>180</v>
      </c>
    </row>
    <row r="223" spans="1:16" hidden="1" x14ac:dyDescent="0.35">
      <c r="A223" t="s">
        <v>306</v>
      </c>
      <c r="B223" s="2">
        <v>46218</v>
      </c>
      <c r="C223" t="s">
        <v>69</v>
      </c>
      <c r="D223" t="s">
        <v>70</v>
      </c>
      <c r="E223" t="s">
        <v>54</v>
      </c>
      <c r="F223" t="s">
        <v>64</v>
      </c>
      <c r="G223" t="s">
        <v>21</v>
      </c>
      <c r="H223" t="s">
        <v>30</v>
      </c>
      <c r="I223">
        <v>1</v>
      </c>
      <c r="J223" s="3">
        <v>13200</v>
      </c>
      <c r="K223" s="3">
        <v>17300</v>
      </c>
      <c r="L223" s="3">
        <v>17300</v>
      </c>
      <c r="M223" s="3">
        <v>4100</v>
      </c>
      <c r="N223" t="s">
        <v>40</v>
      </c>
      <c r="O223" t="s">
        <v>45</v>
      </c>
      <c r="P223">
        <v>30</v>
      </c>
    </row>
    <row r="224" spans="1:16" hidden="1" x14ac:dyDescent="0.35">
      <c r="A224" t="s">
        <v>307</v>
      </c>
      <c r="B224" s="2">
        <v>46255</v>
      </c>
      <c r="C224" t="s">
        <v>66</v>
      </c>
      <c r="D224" t="s">
        <v>67</v>
      </c>
      <c r="E224" t="s">
        <v>44</v>
      </c>
      <c r="F224" t="s">
        <v>20</v>
      </c>
      <c r="G224" t="s">
        <v>77</v>
      </c>
      <c r="H224" t="s">
        <v>22</v>
      </c>
      <c r="I224">
        <v>-2</v>
      </c>
      <c r="J224" s="3">
        <v>244800</v>
      </c>
      <c r="K224" s="3">
        <v>303300</v>
      </c>
      <c r="L224" s="3">
        <v>-606600</v>
      </c>
      <c r="M224" s="3">
        <v>-117000</v>
      </c>
      <c r="N224" t="s">
        <v>23</v>
      </c>
      <c r="O224" t="s">
        <v>60</v>
      </c>
      <c r="P224">
        <v>180</v>
      </c>
    </row>
    <row r="225" spans="1:16" x14ac:dyDescent="0.35">
      <c r="A225" t="s">
        <v>308</v>
      </c>
      <c r="B225" s="2">
        <v>46103</v>
      </c>
      <c r="C225" t="s">
        <v>101</v>
      </c>
      <c r="D225" t="s">
        <v>102</v>
      </c>
      <c r="E225" t="s">
        <v>19</v>
      </c>
      <c r="F225" t="s">
        <v>83</v>
      </c>
      <c r="G225" t="s">
        <v>29</v>
      </c>
      <c r="H225" t="s">
        <v>35</v>
      </c>
      <c r="I225">
        <v>-1</v>
      </c>
      <c r="J225" s="3">
        <v>296000</v>
      </c>
      <c r="K225" s="3">
        <v>385000</v>
      </c>
      <c r="L225" s="3">
        <v>-385000</v>
      </c>
      <c r="M225" s="3">
        <v>-89000</v>
      </c>
      <c r="N225" t="s">
        <v>37</v>
      </c>
      <c r="O225" t="s">
        <v>60</v>
      </c>
      <c r="P225">
        <v>180</v>
      </c>
    </row>
    <row r="226" spans="1:16" hidden="1" x14ac:dyDescent="0.35">
      <c r="A226" t="s">
        <v>309</v>
      </c>
      <c r="B226" s="2">
        <v>46255</v>
      </c>
      <c r="C226" t="s">
        <v>17</v>
      </c>
      <c r="D226" t="s">
        <v>18</v>
      </c>
      <c r="E226" t="s">
        <v>19</v>
      </c>
      <c r="F226" t="s">
        <v>20</v>
      </c>
      <c r="G226" t="s">
        <v>39</v>
      </c>
      <c r="H226" t="s">
        <v>30</v>
      </c>
      <c r="I226">
        <v>-1</v>
      </c>
      <c r="J226" s="3">
        <v>275200</v>
      </c>
      <c r="K226" s="3">
        <v>347700</v>
      </c>
      <c r="L226" s="3">
        <v>-347700</v>
      </c>
      <c r="M226" s="3">
        <v>-72500</v>
      </c>
      <c r="N226" t="s">
        <v>40</v>
      </c>
      <c r="O226" t="s">
        <v>60</v>
      </c>
      <c r="P226">
        <v>180</v>
      </c>
    </row>
    <row r="227" spans="1:16" x14ac:dyDescent="0.35">
      <c r="A227" t="s">
        <v>310</v>
      </c>
      <c r="B227" s="2">
        <v>46038</v>
      </c>
      <c r="C227" t="s">
        <v>73</v>
      </c>
      <c r="D227" t="s">
        <v>74</v>
      </c>
      <c r="E227" t="s">
        <v>75</v>
      </c>
      <c r="F227" t="s">
        <v>76</v>
      </c>
      <c r="G227" t="s">
        <v>21</v>
      </c>
      <c r="H227" t="s">
        <v>35</v>
      </c>
      <c r="I227">
        <v>2</v>
      </c>
      <c r="J227" s="3">
        <v>45800</v>
      </c>
      <c r="K227" s="3">
        <v>56500</v>
      </c>
      <c r="L227" s="3">
        <v>113000</v>
      </c>
      <c r="M227" s="3">
        <v>21400</v>
      </c>
      <c r="N227" t="s">
        <v>23</v>
      </c>
      <c r="O227" t="s">
        <v>24</v>
      </c>
      <c r="P227">
        <v>90</v>
      </c>
    </row>
    <row r="228" spans="1:16" hidden="1" x14ac:dyDescent="0.35">
      <c r="A228" t="s">
        <v>311</v>
      </c>
      <c r="B228" s="2">
        <v>46057</v>
      </c>
      <c r="C228" t="s">
        <v>90</v>
      </c>
      <c r="D228" t="s">
        <v>91</v>
      </c>
      <c r="E228" t="s">
        <v>19</v>
      </c>
      <c r="F228" t="s">
        <v>92</v>
      </c>
      <c r="G228" t="s">
        <v>39</v>
      </c>
      <c r="H228" t="s">
        <v>30</v>
      </c>
      <c r="I228">
        <v>1</v>
      </c>
      <c r="J228" s="3">
        <v>261000</v>
      </c>
      <c r="K228" s="3">
        <v>294700</v>
      </c>
      <c r="L228" s="3">
        <v>294700</v>
      </c>
      <c r="M228" s="3">
        <v>33700</v>
      </c>
      <c r="N228" t="s">
        <v>23</v>
      </c>
      <c r="O228" t="s">
        <v>24</v>
      </c>
      <c r="P228">
        <v>180</v>
      </c>
    </row>
    <row r="229" spans="1:16" hidden="1" x14ac:dyDescent="0.35">
      <c r="A229" t="s">
        <v>312</v>
      </c>
      <c r="B229" s="2">
        <v>46218</v>
      </c>
      <c r="C229" t="s">
        <v>42</v>
      </c>
      <c r="D229" t="s">
        <v>43</v>
      </c>
      <c r="E229" t="s">
        <v>44</v>
      </c>
      <c r="F229" t="s">
        <v>28</v>
      </c>
      <c r="G229" t="s">
        <v>21</v>
      </c>
      <c r="H229" t="s">
        <v>30</v>
      </c>
      <c r="I229">
        <v>2</v>
      </c>
      <c r="J229" s="3">
        <v>215000</v>
      </c>
      <c r="K229" s="3">
        <v>273900</v>
      </c>
      <c r="L229" s="3">
        <v>547800</v>
      </c>
      <c r="M229" s="3">
        <v>117800</v>
      </c>
      <c r="N229" t="s">
        <v>37</v>
      </c>
      <c r="O229" t="s">
        <v>45</v>
      </c>
      <c r="P229">
        <v>180</v>
      </c>
    </row>
    <row r="230" spans="1:16" hidden="1" x14ac:dyDescent="0.35">
      <c r="A230" t="s">
        <v>313</v>
      </c>
      <c r="B230" s="2">
        <v>46205</v>
      </c>
      <c r="C230" t="s">
        <v>52</v>
      </c>
      <c r="D230" t="s">
        <v>53</v>
      </c>
      <c r="E230" t="s">
        <v>54</v>
      </c>
      <c r="F230" t="s">
        <v>55</v>
      </c>
      <c r="G230" t="s">
        <v>39</v>
      </c>
      <c r="H230" t="s">
        <v>50</v>
      </c>
      <c r="I230">
        <v>3</v>
      </c>
      <c r="J230" s="3">
        <v>9200</v>
      </c>
      <c r="K230" s="3">
        <v>12100</v>
      </c>
      <c r="L230" s="3">
        <v>36300</v>
      </c>
      <c r="M230" s="3">
        <v>8700</v>
      </c>
      <c r="N230" t="s">
        <v>37</v>
      </c>
      <c r="O230" t="s">
        <v>24</v>
      </c>
      <c r="P230">
        <v>30</v>
      </c>
    </row>
    <row r="231" spans="1:16" hidden="1" x14ac:dyDescent="0.35">
      <c r="A231" t="s">
        <v>314</v>
      </c>
      <c r="B231" s="2">
        <v>46179</v>
      </c>
      <c r="C231" t="s">
        <v>73</v>
      </c>
      <c r="D231" t="s">
        <v>74</v>
      </c>
      <c r="E231" t="s">
        <v>75</v>
      </c>
      <c r="F231" t="s">
        <v>76</v>
      </c>
      <c r="G231" t="s">
        <v>21</v>
      </c>
      <c r="H231" t="s">
        <v>30</v>
      </c>
      <c r="I231">
        <v>3</v>
      </c>
      <c r="J231" s="3">
        <v>31400</v>
      </c>
      <c r="K231" s="3">
        <v>41300</v>
      </c>
      <c r="L231" s="3">
        <v>123900</v>
      </c>
      <c r="M231" s="3">
        <v>29700</v>
      </c>
      <c r="N231" t="s">
        <v>37</v>
      </c>
      <c r="O231" t="s">
        <v>24</v>
      </c>
      <c r="P231">
        <v>90</v>
      </c>
    </row>
    <row r="232" spans="1:16" hidden="1" x14ac:dyDescent="0.35">
      <c r="A232" t="s">
        <v>315</v>
      </c>
      <c r="B232" s="2">
        <v>46043</v>
      </c>
      <c r="C232" t="s">
        <v>66</v>
      </c>
      <c r="D232" t="s">
        <v>67</v>
      </c>
      <c r="E232" t="s">
        <v>44</v>
      </c>
      <c r="F232" t="s">
        <v>20</v>
      </c>
      <c r="G232" t="s">
        <v>21</v>
      </c>
      <c r="H232" t="s">
        <v>22</v>
      </c>
      <c r="I232">
        <v>1</v>
      </c>
      <c r="J232" s="3">
        <v>197200</v>
      </c>
      <c r="K232" s="3">
        <v>234500</v>
      </c>
      <c r="L232" s="3">
        <v>234500</v>
      </c>
      <c r="M232" s="3">
        <v>37300</v>
      </c>
      <c r="N232" t="s">
        <v>40</v>
      </c>
      <c r="O232" t="s">
        <v>24</v>
      </c>
      <c r="P232">
        <v>180</v>
      </c>
    </row>
    <row r="233" spans="1:16" hidden="1" x14ac:dyDescent="0.35">
      <c r="A233" t="s">
        <v>316</v>
      </c>
      <c r="B233" s="2">
        <v>46152</v>
      </c>
      <c r="C233" t="s">
        <v>90</v>
      </c>
      <c r="D233" t="s">
        <v>91</v>
      </c>
      <c r="E233" t="s">
        <v>19</v>
      </c>
      <c r="F233" t="s">
        <v>92</v>
      </c>
      <c r="G233" t="s">
        <v>39</v>
      </c>
      <c r="H233" t="s">
        <v>30</v>
      </c>
      <c r="I233">
        <v>1</v>
      </c>
      <c r="J233" s="3">
        <v>189400</v>
      </c>
      <c r="K233" s="3">
        <v>234600</v>
      </c>
      <c r="L233" s="3">
        <v>234600</v>
      </c>
      <c r="M233" s="3">
        <v>45200</v>
      </c>
      <c r="N233" t="s">
        <v>37</v>
      </c>
      <c r="O233" t="s">
        <v>24</v>
      </c>
      <c r="P233">
        <v>180</v>
      </c>
    </row>
    <row r="234" spans="1:16" hidden="1" x14ac:dyDescent="0.35">
      <c r="A234" t="s">
        <v>317</v>
      </c>
      <c r="B234" s="2">
        <v>46284</v>
      </c>
      <c r="C234" t="s">
        <v>66</v>
      </c>
      <c r="D234" t="s">
        <v>67</v>
      </c>
      <c r="E234" t="s">
        <v>44</v>
      </c>
      <c r="F234" t="s">
        <v>20</v>
      </c>
      <c r="G234" t="s">
        <v>77</v>
      </c>
      <c r="H234" t="s">
        <v>50</v>
      </c>
      <c r="I234">
        <v>2</v>
      </c>
      <c r="J234" s="3">
        <v>229400</v>
      </c>
      <c r="K234" s="3">
        <v>291500</v>
      </c>
      <c r="L234" s="3">
        <v>583000</v>
      </c>
      <c r="M234" s="3">
        <v>124200</v>
      </c>
      <c r="N234" t="s">
        <v>31</v>
      </c>
      <c r="O234" t="s">
        <v>24</v>
      </c>
      <c r="P234">
        <v>180</v>
      </c>
    </row>
    <row r="235" spans="1:16" hidden="1" x14ac:dyDescent="0.35">
      <c r="A235" t="s">
        <v>318</v>
      </c>
      <c r="B235" s="2">
        <v>46100</v>
      </c>
      <c r="C235" t="s">
        <v>104</v>
      </c>
      <c r="D235" t="s">
        <v>105</v>
      </c>
      <c r="E235" t="s">
        <v>106</v>
      </c>
      <c r="F235" t="s">
        <v>76</v>
      </c>
      <c r="G235" t="s">
        <v>29</v>
      </c>
      <c r="H235" t="s">
        <v>30</v>
      </c>
      <c r="I235">
        <v>1</v>
      </c>
      <c r="J235" s="3">
        <v>40100</v>
      </c>
      <c r="K235" s="3">
        <v>50300</v>
      </c>
      <c r="L235" s="3">
        <v>50300</v>
      </c>
      <c r="M235" s="3">
        <v>10200</v>
      </c>
      <c r="N235" t="s">
        <v>31</v>
      </c>
      <c r="O235" t="s">
        <v>24</v>
      </c>
      <c r="P235">
        <v>90</v>
      </c>
    </row>
    <row r="236" spans="1:16" hidden="1" x14ac:dyDescent="0.35">
      <c r="A236" t="s">
        <v>319</v>
      </c>
      <c r="B236" s="2">
        <v>46245</v>
      </c>
      <c r="C236" t="s">
        <v>81</v>
      </c>
      <c r="D236" t="s">
        <v>82</v>
      </c>
      <c r="E236" t="s">
        <v>44</v>
      </c>
      <c r="F236" t="s">
        <v>83</v>
      </c>
      <c r="G236" t="s">
        <v>21</v>
      </c>
      <c r="H236" t="s">
        <v>22</v>
      </c>
      <c r="I236">
        <v>3</v>
      </c>
      <c r="J236" s="3">
        <v>176700</v>
      </c>
      <c r="K236" s="3">
        <v>231400</v>
      </c>
      <c r="L236" s="3">
        <v>694200</v>
      </c>
      <c r="M236" s="3">
        <v>164100</v>
      </c>
      <c r="N236" t="s">
        <v>31</v>
      </c>
      <c r="O236" t="s">
        <v>24</v>
      </c>
      <c r="P236">
        <v>180</v>
      </c>
    </row>
    <row r="237" spans="1:16" hidden="1" x14ac:dyDescent="0.35">
      <c r="A237" t="s">
        <v>320</v>
      </c>
      <c r="B237" s="2">
        <v>46180</v>
      </c>
      <c r="C237" t="s">
        <v>52</v>
      </c>
      <c r="D237" t="s">
        <v>53</v>
      </c>
      <c r="E237" t="s">
        <v>54</v>
      </c>
      <c r="F237" t="s">
        <v>55</v>
      </c>
      <c r="G237" t="s">
        <v>21</v>
      </c>
      <c r="H237" t="s">
        <v>50</v>
      </c>
      <c r="I237">
        <v>1</v>
      </c>
      <c r="J237" s="3">
        <v>29000</v>
      </c>
      <c r="K237" s="3">
        <v>34300</v>
      </c>
      <c r="L237" s="3">
        <v>34300</v>
      </c>
      <c r="M237" s="3">
        <v>5300</v>
      </c>
      <c r="N237" t="s">
        <v>37</v>
      </c>
      <c r="O237" t="s">
        <v>24</v>
      </c>
      <c r="P237">
        <v>30</v>
      </c>
    </row>
    <row r="238" spans="1:16" hidden="1" x14ac:dyDescent="0.35">
      <c r="A238" t="s">
        <v>321</v>
      </c>
      <c r="B238" s="2">
        <v>46056</v>
      </c>
      <c r="C238" t="s">
        <v>66</v>
      </c>
      <c r="D238" t="s">
        <v>67</v>
      </c>
      <c r="E238" t="s">
        <v>44</v>
      </c>
      <c r="F238" t="s">
        <v>20</v>
      </c>
      <c r="G238" t="s">
        <v>21</v>
      </c>
      <c r="H238" t="s">
        <v>30</v>
      </c>
      <c r="I238">
        <v>2</v>
      </c>
      <c r="J238" s="3">
        <v>263400</v>
      </c>
      <c r="K238" s="3">
        <v>310900</v>
      </c>
      <c r="L238" s="3">
        <v>621800</v>
      </c>
      <c r="M238" s="3">
        <v>95000</v>
      </c>
      <c r="N238" t="s">
        <v>40</v>
      </c>
      <c r="O238" t="s">
        <v>45</v>
      </c>
      <c r="P238">
        <v>180</v>
      </c>
    </row>
    <row r="239" spans="1:16" hidden="1" x14ac:dyDescent="0.35">
      <c r="A239" t="s">
        <v>322</v>
      </c>
      <c r="B239" s="2">
        <v>46216</v>
      </c>
      <c r="C239" t="s">
        <v>52</v>
      </c>
      <c r="D239" t="s">
        <v>53</v>
      </c>
      <c r="E239" t="s">
        <v>54</v>
      </c>
      <c r="F239" t="s">
        <v>55</v>
      </c>
      <c r="G239" t="s">
        <v>39</v>
      </c>
      <c r="H239" t="s">
        <v>50</v>
      </c>
      <c r="I239">
        <v>2</v>
      </c>
      <c r="J239" s="3">
        <v>13800</v>
      </c>
      <c r="K239" s="3">
        <v>16000</v>
      </c>
      <c r="L239" s="3">
        <v>32000</v>
      </c>
      <c r="M239" s="3">
        <v>4400</v>
      </c>
      <c r="N239" t="s">
        <v>23</v>
      </c>
      <c r="O239" t="s">
        <v>45</v>
      </c>
      <c r="P239">
        <v>30</v>
      </c>
    </row>
    <row r="240" spans="1:16" hidden="1" x14ac:dyDescent="0.35">
      <c r="A240" t="s">
        <v>323</v>
      </c>
      <c r="B240" s="2">
        <v>46123</v>
      </c>
      <c r="C240" t="s">
        <v>81</v>
      </c>
      <c r="D240" t="s">
        <v>82</v>
      </c>
      <c r="E240" t="s">
        <v>44</v>
      </c>
      <c r="F240" t="s">
        <v>83</v>
      </c>
      <c r="G240" t="s">
        <v>29</v>
      </c>
      <c r="H240" t="s">
        <v>30</v>
      </c>
      <c r="I240">
        <v>1</v>
      </c>
      <c r="J240" s="3">
        <v>211500</v>
      </c>
      <c r="K240" s="3">
        <v>262500</v>
      </c>
      <c r="L240" s="3">
        <v>262500</v>
      </c>
      <c r="M240" s="3">
        <v>51000</v>
      </c>
      <c r="N240" t="s">
        <v>40</v>
      </c>
      <c r="O240" t="s">
        <v>24</v>
      </c>
      <c r="P240">
        <v>180</v>
      </c>
    </row>
    <row r="241" spans="1:16" hidden="1" x14ac:dyDescent="0.35">
      <c r="A241" t="s">
        <v>324</v>
      </c>
      <c r="B241" s="2">
        <v>46087</v>
      </c>
      <c r="C241" t="s">
        <v>57</v>
      </c>
      <c r="D241" t="s">
        <v>58</v>
      </c>
      <c r="E241" t="s">
        <v>49</v>
      </c>
      <c r="F241" t="s">
        <v>59</v>
      </c>
      <c r="G241" t="s">
        <v>21</v>
      </c>
      <c r="H241" t="s">
        <v>50</v>
      </c>
      <c r="I241">
        <v>1</v>
      </c>
      <c r="J241" s="3">
        <v>81700</v>
      </c>
      <c r="K241" s="3">
        <v>106400</v>
      </c>
      <c r="L241" s="3">
        <v>106400</v>
      </c>
      <c r="M241" s="3">
        <v>24700</v>
      </c>
      <c r="N241" t="s">
        <v>40</v>
      </c>
      <c r="O241" t="s">
        <v>24</v>
      </c>
      <c r="P241">
        <v>90</v>
      </c>
    </row>
    <row r="242" spans="1:16" x14ac:dyDescent="0.35">
      <c r="A242" t="s">
        <v>325</v>
      </c>
      <c r="B242" s="2">
        <v>46265</v>
      </c>
      <c r="C242" t="s">
        <v>52</v>
      </c>
      <c r="D242" t="s">
        <v>53</v>
      </c>
      <c r="E242" t="s">
        <v>54</v>
      </c>
      <c r="F242" t="s">
        <v>55</v>
      </c>
      <c r="G242" t="s">
        <v>77</v>
      </c>
      <c r="H242" t="s">
        <v>35</v>
      </c>
      <c r="I242">
        <v>2</v>
      </c>
      <c r="J242" s="3">
        <v>32600</v>
      </c>
      <c r="K242" s="3">
        <v>40100</v>
      </c>
      <c r="L242" s="3">
        <v>80200</v>
      </c>
      <c r="M242" s="3">
        <v>15000</v>
      </c>
      <c r="N242" t="s">
        <v>31</v>
      </c>
      <c r="O242" t="s">
        <v>45</v>
      </c>
      <c r="P242">
        <v>30</v>
      </c>
    </row>
    <row r="243" spans="1:16" x14ac:dyDescent="0.35">
      <c r="A243" t="s">
        <v>326</v>
      </c>
      <c r="B243" s="2">
        <v>46190</v>
      </c>
      <c r="C243" t="s">
        <v>47</v>
      </c>
      <c r="D243" t="s">
        <v>48</v>
      </c>
      <c r="E243" t="s">
        <v>49</v>
      </c>
      <c r="F243" t="s">
        <v>20</v>
      </c>
      <c r="G243" t="s">
        <v>29</v>
      </c>
      <c r="H243" t="s">
        <v>35</v>
      </c>
      <c r="I243">
        <v>1</v>
      </c>
      <c r="J243" s="3">
        <v>93200</v>
      </c>
      <c r="K243" s="3">
        <v>113700</v>
      </c>
      <c r="L243" s="3">
        <v>113700</v>
      </c>
      <c r="M243" s="3">
        <v>20500</v>
      </c>
      <c r="N243" t="s">
        <v>31</v>
      </c>
      <c r="O243" t="s">
        <v>45</v>
      </c>
      <c r="P243">
        <v>90</v>
      </c>
    </row>
    <row r="244" spans="1:16" x14ac:dyDescent="0.35">
      <c r="A244" t="s">
        <v>327</v>
      </c>
      <c r="B244" s="2">
        <v>46160</v>
      </c>
      <c r="C244" t="s">
        <v>119</v>
      </c>
      <c r="D244" t="s">
        <v>120</v>
      </c>
      <c r="E244" t="s">
        <v>54</v>
      </c>
      <c r="F244" t="s">
        <v>83</v>
      </c>
      <c r="G244" t="s">
        <v>21</v>
      </c>
      <c r="H244" t="s">
        <v>35</v>
      </c>
      <c r="I244">
        <v>2</v>
      </c>
      <c r="J244" s="3">
        <v>8300</v>
      </c>
      <c r="K244" s="3">
        <v>10700</v>
      </c>
      <c r="L244" s="3">
        <v>21400</v>
      </c>
      <c r="M244" s="3">
        <v>4800</v>
      </c>
      <c r="N244" t="s">
        <v>40</v>
      </c>
      <c r="O244" t="s">
        <v>24</v>
      </c>
      <c r="P244">
        <v>30</v>
      </c>
    </row>
    <row r="245" spans="1:16" hidden="1" x14ac:dyDescent="0.35">
      <c r="A245" t="s">
        <v>328</v>
      </c>
      <c r="B245" s="2">
        <v>46199</v>
      </c>
      <c r="C245" t="s">
        <v>90</v>
      </c>
      <c r="D245" t="s">
        <v>91</v>
      </c>
      <c r="E245" t="s">
        <v>19</v>
      </c>
      <c r="F245" t="s">
        <v>92</v>
      </c>
      <c r="G245" t="s">
        <v>77</v>
      </c>
      <c r="H245" t="s">
        <v>30</v>
      </c>
      <c r="I245">
        <v>3</v>
      </c>
      <c r="J245" s="3">
        <v>226200</v>
      </c>
      <c r="K245" s="3">
        <v>270500</v>
      </c>
      <c r="L245" s="3">
        <v>811500</v>
      </c>
      <c r="M245" s="3">
        <v>132900</v>
      </c>
      <c r="N245" t="s">
        <v>37</v>
      </c>
      <c r="O245" t="s">
        <v>45</v>
      </c>
      <c r="P245">
        <v>180</v>
      </c>
    </row>
    <row r="246" spans="1:16" hidden="1" x14ac:dyDescent="0.35">
      <c r="A246" t="s">
        <v>329</v>
      </c>
      <c r="B246" s="2">
        <v>46277</v>
      </c>
      <c r="C246" t="s">
        <v>62</v>
      </c>
      <c r="D246" t="s">
        <v>63</v>
      </c>
      <c r="E246" t="s">
        <v>54</v>
      </c>
      <c r="F246" t="s">
        <v>64</v>
      </c>
      <c r="G246" t="s">
        <v>29</v>
      </c>
      <c r="H246" t="s">
        <v>22</v>
      </c>
      <c r="I246">
        <v>-1</v>
      </c>
      <c r="J246" s="3">
        <v>11700</v>
      </c>
      <c r="K246" s="3">
        <v>15000</v>
      </c>
      <c r="L246" s="3">
        <v>-15000</v>
      </c>
      <c r="M246" s="3">
        <v>-3300</v>
      </c>
      <c r="N246" t="s">
        <v>23</v>
      </c>
      <c r="O246" t="s">
        <v>60</v>
      </c>
      <c r="P246">
        <v>30</v>
      </c>
    </row>
    <row r="247" spans="1:16" hidden="1" x14ac:dyDescent="0.35">
      <c r="A247" t="s">
        <v>330</v>
      </c>
      <c r="B247" s="2">
        <v>46097</v>
      </c>
      <c r="C247" t="s">
        <v>26</v>
      </c>
      <c r="D247" t="s">
        <v>27</v>
      </c>
      <c r="E247" t="s">
        <v>19</v>
      </c>
      <c r="F247" t="s">
        <v>28</v>
      </c>
      <c r="G247" t="s">
        <v>29</v>
      </c>
      <c r="H247" t="s">
        <v>22</v>
      </c>
      <c r="I247">
        <v>2</v>
      </c>
      <c r="J247" s="3">
        <v>312300</v>
      </c>
      <c r="K247" s="3">
        <v>391500</v>
      </c>
      <c r="L247" s="3">
        <v>783000</v>
      </c>
      <c r="M247" s="3">
        <v>158400</v>
      </c>
      <c r="N247" t="s">
        <v>40</v>
      </c>
      <c r="O247" t="s">
        <v>45</v>
      </c>
      <c r="P247">
        <v>180</v>
      </c>
    </row>
    <row r="248" spans="1:16" hidden="1" x14ac:dyDescent="0.35">
      <c r="A248" t="s">
        <v>331</v>
      </c>
      <c r="B248" s="2">
        <v>46274</v>
      </c>
      <c r="C248" t="s">
        <v>33</v>
      </c>
      <c r="D248" t="s">
        <v>34</v>
      </c>
      <c r="E248" t="s">
        <v>19</v>
      </c>
      <c r="F248" t="s">
        <v>20</v>
      </c>
      <c r="G248" t="s">
        <v>21</v>
      </c>
      <c r="H248" t="s">
        <v>22</v>
      </c>
      <c r="I248">
        <v>-1</v>
      </c>
      <c r="J248" s="3">
        <v>210600</v>
      </c>
      <c r="K248" s="3">
        <v>255100</v>
      </c>
      <c r="L248" s="3">
        <v>-255100</v>
      </c>
      <c r="M248" s="3">
        <v>-44500</v>
      </c>
      <c r="N248" t="s">
        <v>23</v>
      </c>
      <c r="O248" t="s">
        <v>60</v>
      </c>
      <c r="P248">
        <v>180</v>
      </c>
    </row>
    <row r="249" spans="1:16" hidden="1" x14ac:dyDescent="0.35">
      <c r="A249" t="s">
        <v>332</v>
      </c>
      <c r="B249" s="2">
        <v>46173</v>
      </c>
      <c r="C249" t="s">
        <v>134</v>
      </c>
      <c r="D249" t="s">
        <v>135</v>
      </c>
      <c r="E249" t="s">
        <v>106</v>
      </c>
      <c r="F249" t="s">
        <v>76</v>
      </c>
      <c r="G249" t="s">
        <v>39</v>
      </c>
      <c r="H249" t="s">
        <v>30</v>
      </c>
      <c r="I249">
        <v>1</v>
      </c>
      <c r="J249" s="3">
        <v>38400</v>
      </c>
      <c r="K249" s="3">
        <v>43100</v>
      </c>
      <c r="L249" s="3">
        <v>43100</v>
      </c>
      <c r="M249" s="3">
        <v>4700</v>
      </c>
      <c r="N249" t="s">
        <v>40</v>
      </c>
      <c r="O249" t="s">
        <v>24</v>
      </c>
      <c r="P249">
        <v>90</v>
      </c>
    </row>
    <row r="250" spans="1:16" x14ac:dyDescent="0.35">
      <c r="A250" t="s">
        <v>333</v>
      </c>
      <c r="B250" s="2">
        <v>46296</v>
      </c>
      <c r="C250" t="s">
        <v>17</v>
      </c>
      <c r="D250" t="s">
        <v>18</v>
      </c>
      <c r="E250" t="s">
        <v>19</v>
      </c>
      <c r="F250" t="s">
        <v>20</v>
      </c>
      <c r="G250" t="s">
        <v>77</v>
      </c>
      <c r="H250" t="s">
        <v>35</v>
      </c>
      <c r="I250">
        <v>-1</v>
      </c>
      <c r="J250" s="3">
        <v>308500</v>
      </c>
      <c r="K250" s="3">
        <v>377900</v>
      </c>
      <c r="L250" s="3">
        <v>-377900</v>
      </c>
      <c r="M250" s="3">
        <v>-69400</v>
      </c>
      <c r="N250" t="s">
        <v>31</v>
      </c>
      <c r="O250" t="s">
        <v>60</v>
      </c>
      <c r="P250">
        <v>180</v>
      </c>
    </row>
    <row r="251" spans="1:16" hidden="1" x14ac:dyDescent="0.35">
      <c r="A251" t="s">
        <v>334</v>
      </c>
      <c r="B251" s="2">
        <v>46142</v>
      </c>
      <c r="C251" t="s">
        <v>52</v>
      </c>
      <c r="D251" t="s">
        <v>53</v>
      </c>
      <c r="E251" t="s">
        <v>54</v>
      </c>
      <c r="F251" t="s">
        <v>55</v>
      </c>
      <c r="G251" t="s">
        <v>77</v>
      </c>
      <c r="H251" t="s">
        <v>22</v>
      </c>
      <c r="I251">
        <v>1</v>
      </c>
      <c r="J251" s="3">
        <v>9200</v>
      </c>
      <c r="K251" s="3">
        <v>12100</v>
      </c>
      <c r="L251" s="3">
        <v>12100</v>
      </c>
      <c r="M251" s="3">
        <v>2900</v>
      </c>
      <c r="N251" t="s">
        <v>23</v>
      </c>
      <c r="O251" t="s">
        <v>24</v>
      </c>
      <c r="P251">
        <v>30</v>
      </c>
    </row>
    <row r="252" spans="1:16" hidden="1" x14ac:dyDescent="0.35">
      <c r="A252" t="s">
        <v>335</v>
      </c>
      <c r="B252" s="2">
        <v>46114</v>
      </c>
      <c r="C252" t="s">
        <v>26</v>
      </c>
      <c r="D252" t="s">
        <v>27</v>
      </c>
      <c r="E252" t="s">
        <v>19</v>
      </c>
      <c r="F252" t="s">
        <v>28</v>
      </c>
      <c r="G252" t="s">
        <v>39</v>
      </c>
      <c r="H252" t="s">
        <v>30</v>
      </c>
      <c r="I252">
        <v>1</v>
      </c>
      <c r="J252" s="3">
        <v>236700</v>
      </c>
      <c r="K252" s="3">
        <v>283000</v>
      </c>
      <c r="L252" s="3">
        <v>283000</v>
      </c>
      <c r="M252" s="3">
        <v>46300</v>
      </c>
      <c r="N252" t="s">
        <v>37</v>
      </c>
      <c r="O252" t="s">
        <v>24</v>
      </c>
      <c r="P252">
        <v>180</v>
      </c>
    </row>
    <row r="253" spans="1:16" hidden="1" x14ac:dyDescent="0.35">
      <c r="A253" t="s">
        <v>336</v>
      </c>
      <c r="B253" s="2">
        <v>46048</v>
      </c>
      <c r="C253" t="s">
        <v>57</v>
      </c>
      <c r="D253" t="s">
        <v>58</v>
      </c>
      <c r="E253" t="s">
        <v>49</v>
      </c>
      <c r="F253" t="s">
        <v>59</v>
      </c>
      <c r="G253" t="s">
        <v>29</v>
      </c>
      <c r="H253" t="s">
        <v>50</v>
      </c>
      <c r="I253">
        <v>-1</v>
      </c>
      <c r="J253" s="3">
        <v>96100</v>
      </c>
      <c r="K253" s="3">
        <v>124100</v>
      </c>
      <c r="L253" s="3">
        <v>-124100</v>
      </c>
      <c r="M253" s="3">
        <v>-28000</v>
      </c>
      <c r="N253" t="s">
        <v>37</v>
      </c>
      <c r="O253" t="s">
        <v>60</v>
      </c>
      <c r="P253">
        <v>90</v>
      </c>
    </row>
    <row r="254" spans="1:16" x14ac:dyDescent="0.35">
      <c r="A254" t="s">
        <v>337</v>
      </c>
      <c r="B254" s="2">
        <v>46043</v>
      </c>
      <c r="C254" t="s">
        <v>81</v>
      </c>
      <c r="D254" t="s">
        <v>82</v>
      </c>
      <c r="E254" t="s">
        <v>44</v>
      </c>
      <c r="F254" t="s">
        <v>83</v>
      </c>
      <c r="G254" t="s">
        <v>29</v>
      </c>
      <c r="H254" t="s">
        <v>35</v>
      </c>
      <c r="I254">
        <v>-4</v>
      </c>
      <c r="J254" s="3">
        <v>175100</v>
      </c>
      <c r="K254" s="3">
        <v>198700</v>
      </c>
      <c r="L254" s="3">
        <v>-794800</v>
      </c>
      <c r="M254" s="3">
        <v>-94400</v>
      </c>
      <c r="N254" t="s">
        <v>23</v>
      </c>
      <c r="O254" t="s">
        <v>60</v>
      </c>
      <c r="P254">
        <v>180</v>
      </c>
    </row>
    <row r="255" spans="1:16" hidden="1" x14ac:dyDescent="0.35">
      <c r="A255" t="s">
        <v>338</v>
      </c>
      <c r="B255" s="2">
        <v>46066</v>
      </c>
      <c r="C255" t="s">
        <v>90</v>
      </c>
      <c r="D255" t="s">
        <v>91</v>
      </c>
      <c r="E255" t="s">
        <v>19</v>
      </c>
      <c r="F255" t="s">
        <v>92</v>
      </c>
      <c r="G255" t="s">
        <v>77</v>
      </c>
      <c r="H255" t="s">
        <v>50</v>
      </c>
      <c r="I255">
        <v>2</v>
      </c>
      <c r="J255" s="3">
        <v>262200</v>
      </c>
      <c r="K255" s="3">
        <v>333100</v>
      </c>
      <c r="L255" s="3">
        <v>666200</v>
      </c>
      <c r="M255" s="3">
        <v>141800</v>
      </c>
      <c r="N255" t="s">
        <v>40</v>
      </c>
      <c r="O255" t="s">
        <v>45</v>
      </c>
      <c r="P255">
        <v>180</v>
      </c>
    </row>
    <row r="256" spans="1:16" hidden="1" x14ac:dyDescent="0.35">
      <c r="A256" t="s">
        <v>339</v>
      </c>
      <c r="B256" s="2">
        <v>46223</v>
      </c>
      <c r="C256" t="s">
        <v>104</v>
      </c>
      <c r="D256" t="s">
        <v>105</v>
      </c>
      <c r="E256" t="s">
        <v>106</v>
      </c>
      <c r="F256" t="s">
        <v>76</v>
      </c>
      <c r="G256" t="s">
        <v>29</v>
      </c>
      <c r="H256" t="s">
        <v>22</v>
      </c>
      <c r="I256">
        <v>3</v>
      </c>
      <c r="J256" s="3">
        <v>48900</v>
      </c>
      <c r="K256" s="3">
        <v>58600</v>
      </c>
      <c r="L256" s="3">
        <v>175800</v>
      </c>
      <c r="M256" s="3">
        <v>29100</v>
      </c>
      <c r="N256" t="s">
        <v>31</v>
      </c>
      <c r="O256" t="s">
        <v>24</v>
      </c>
      <c r="P256">
        <v>90</v>
      </c>
    </row>
    <row r="257" spans="1:16" hidden="1" x14ac:dyDescent="0.35">
      <c r="A257" t="s">
        <v>340</v>
      </c>
      <c r="B257" s="2">
        <v>46230</v>
      </c>
      <c r="C257" t="s">
        <v>101</v>
      </c>
      <c r="D257" t="s">
        <v>102</v>
      </c>
      <c r="E257" t="s">
        <v>19</v>
      </c>
      <c r="F257" t="s">
        <v>83</v>
      </c>
      <c r="G257" t="s">
        <v>77</v>
      </c>
      <c r="H257" t="s">
        <v>22</v>
      </c>
      <c r="I257">
        <v>-1</v>
      </c>
      <c r="J257" s="3">
        <v>193700</v>
      </c>
      <c r="K257" s="3">
        <v>225900</v>
      </c>
      <c r="L257" s="3">
        <v>-225900</v>
      </c>
      <c r="M257" s="3">
        <v>-32200</v>
      </c>
      <c r="N257" t="s">
        <v>31</v>
      </c>
      <c r="O257" t="s">
        <v>60</v>
      </c>
      <c r="P257">
        <v>180</v>
      </c>
    </row>
    <row r="258" spans="1:16" hidden="1" x14ac:dyDescent="0.35">
      <c r="A258" t="s">
        <v>341</v>
      </c>
      <c r="B258" s="2">
        <v>46122</v>
      </c>
      <c r="C258" t="s">
        <v>62</v>
      </c>
      <c r="D258" t="s">
        <v>63</v>
      </c>
      <c r="E258" t="s">
        <v>54</v>
      </c>
      <c r="F258" t="s">
        <v>64</v>
      </c>
      <c r="G258" t="s">
        <v>21</v>
      </c>
      <c r="H258" t="s">
        <v>22</v>
      </c>
      <c r="I258">
        <v>4</v>
      </c>
      <c r="J258" s="3">
        <v>20700</v>
      </c>
      <c r="K258" s="3">
        <v>24700</v>
      </c>
      <c r="L258" s="3">
        <v>98800</v>
      </c>
      <c r="M258" s="3">
        <v>16000</v>
      </c>
      <c r="N258" t="s">
        <v>31</v>
      </c>
      <c r="O258" t="s">
        <v>45</v>
      </c>
      <c r="P258">
        <v>30</v>
      </c>
    </row>
    <row r="259" spans="1:16" x14ac:dyDescent="0.35">
      <c r="A259" t="s">
        <v>342</v>
      </c>
      <c r="B259" s="2">
        <v>46226</v>
      </c>
      <c r="C259" t="s">
        <v>66</v>
      </c>
      <c r="D259" t="s">
        <v>67</v>
      </c>
      <c r="E259" t="s">
        <v>44</v>
      </c>
      <c r="F259" t="s">
        <v>20</v>
      </c>
      <c r="G259" t="s">
        <v>77</v>
      </c>
      <c r="H259" t="s">
        <v>35</v>
      </c>
      <c r="I259">
        <v>1</v>
      </c>
      <c r="J259" s="3">
        <v>248400</v>
      </c>
      <c r="K259" s="3">
        <v>282300</v>
      </c>
      <c r="L259" s="3">
        <v>282300</v>
      </c>
      <c r="M259" s="3">
        <v>33900</v>
      </c>
      <c r="N259" t="s">
        <v>23</v>
      </c>
      <c r="O259" t="s">
        <v>24</v>
      </c>
      <c r="P259">
        <v>180</v>
      </c>
    </row>
    <row r="260" spans="1:16" hidden="1" x14ac:dyDescent="0.35">
      <c r="A260" t="s">
        <v>343</v>
      </c>
      <c r="B260" s="2">
        <v>46079</v>
      </c>
      <c r="C260" t="s">
        <v>26</v>
      </c>
      <c r="D260" t="s">
        <v>27</v>
      </c>
      <c r="E260" t="s">
        <v>19</v>
      </c>
      <c r="F260" t="s">
        <v>28</v>
      </c>
      <c r="G260" t="s">
        <v>29</v>
      </c>
      <c r="H260" t="s">
        <v>22</v>
      </c>
      <c r="I260">
        <v>1</v>
      </c>
      <c r="J260" s="3">
        <v>180700</v>
      </c>
      <c r="K260" s="3">
        <v>213500</v>
      </c>
      <c r="L260" s="3">
        <v>213500</v>
      </c>
      <c r="M260" s="3">
        <v>32800</v>
      </c>
      <c r="N260" t="s">
        <v>40</v>
      </c>
      <c r="O260" t="s">
        <v>24</v>
      </c>
      <c r="P260">
        <v>180</v>
      </c>
    </row>
    <row r="261" spans="1:16" hidden="1" x14ac:dyDescent="0.35">
      <c r="A261" t="s">
        <v>344</v>
      </c>
      <c r="B261" s="2">
        <v>46072</v>
      </c>
      <c r="C261" t="s">
        <v>119</v>
      </c>
      <c r="D261" t="s">
        <v>120</v>
      </c>
      <c r="E261" t="s">
        <v>54</v>
      </c>
      <c r="F261" t="s">
        <v>83</v>
      </c>
      <c r="G261" t="s">
        <v>77</v>
      </c>
      <c r="H261" t="s">
        <v>22</v>
      </c>
      <c r="I261">
        <v>1</v>
      </c>
      <c r="J261" s="3">
        <v>19600</v>
      </c>
      <c r="K261" s="3">
        <v>24100</v>
      </c>
      <c r="L261" s="3">
        <v>24100</v>
      </c>
      <c r="M261" s="3">
        <v>4500</v>
      </c>
      <c r="N261" t="s">
        <v>31</v>
      </c>
      <c r="O261" t="s">
        <v>24</v>
      </c>
      <c r="P261">
        <v>30</v>
      </c>
    </row>
    <row r="262" spans="1:16" hidden="1" x14ac:dyDescent="0.35">
      <c r="A262" t="s">
        <v>345</v>
      </c>
      <c r="B262" s="2">
        <v>46151</v>
      </c>
      <c r="C262" t="s">
        <v>52</v>
      </c>
      <c r="D262" t="s">
        <v>53</v>
      </c>
      <c r="E262" t="s">
        <v>54</v>
      </c>
      <c r="F262" t="s">
        <v>55</v>
      </c>
      <c r="G262" t="s">
        <v>29</v>
      </c>
      <c r="H262" t="s">
        <v>30</v>
      </c>
      <c r="I262">
        <v>-2</v>
      </c>
      <c r="J262" s="3">
        <v>7300</v>
      </c>
      <c r="K262" s="3">
        <v>8800</v>
      </c>
      <c r="L262" s="3">
        <v>-17600</v>
      </c>
      <c r="M262" s="3">
        <v>-3000</v>
      </c>
      <c r="N262" t="s">
        <v>40</v>
      </c>
      <c r="O262" t="s">
        <v>60</v>
      </c>
      <c r="P262">
        <v>30</v>
      </c>
    </row>
    <row r="263" spans="1:16" hidden="1" x14ac:dyDescent="0.35">
      <c r="A263" t="s">
        <v>346</v>
      </c>
      <c r="B263" s="2">
        <v>46249</v>
      </c>
      <c r="C263" t="s">
        <v>111</v>
      </c>
      <c r="D263" t="s">
        <v>112</v>
      </c>
      <c r="E263" t="s">
        <v>19</v>
      </c>
      <c r="F263" t="s">
        <v>83</v>
      </c>
      <c r="G263" t="s">
        <v>77</v>
      </c>
      <c r="H263" t="s">
        <v>30</v>
      </c>
      <c r="I263">
        <v>1</v>
      </c>
      <c r="J263" s="3">
        <v>217600</v>
      </c>
      <c r="K263" s="3">
        <v>255400</v>
      </c>
      <c r="L263" s="3">
        <v>255400</v>
      </c>
      <c r="M263" s="3">
        <v>37800</v>
      </c>
      <c r="N263" t="s">
        <v>31</v>
      </c>
      <c r="O263" t="s">
        <v>24</v>
      </c>
      <c r="P263">
        <v>180</v>
      </c>
    </row>
    <row r="264" spans="1:16" hidden="1" x14ac:dyDescent="0.35">
      <c r="A264" t="s">
        <v>347</v>
      </c>
      <c r="B264" s="2">
        <v>46127</v>
      </c>
      <c r="C264" t="s">
        <v>87</v>
      </c>
      <c r="D264" t="s">
        <v>88</v>
      </c>
      <c r="E264" t="s">
        <v>75</v>
      </c>
      <c r="F264" t="s">
        <v>76</v>
      </c>
      <c r="G264" t="s">
        <v>21</v>
      </c>
      <c r="H264" t="s">
        <v>22</v>
      </c>
      <c r="I264">
        <v>4</v>
      </c>
      <c r="J264" s="3">
        <v>64100</v>
      </c>
      <c r="K264" s="3">
        <v>76400</v>
      </c>
      <c r="L264" s="3">
        <v>305600</v>
      </c>
      <c r="M264" s="3">
        <v>49200</v>
      </c>
      <c r="N264" t="s">
        <v>40</v>
      </c>
      <c r="O264" t="s">
        <v>45</v>
      </c>
      <c r="P264">
        <v>90</v>
      </c>
    </row>
    <row r="265" spans="1:16" x14ac:dyDescent="0.35">
      <c r="A265" t="s">
        <v>348</v>
      </c>
      <c r="B265" s="2">
        <v>46195</v>
      </c>
      <c r="C265" t="s">
        <v>42</v>
      </c>
      <c r="D265" t="s">
        <v>43</v>
      </c>
      <c r="E265" t="s">
        <v>44</v>
      </c>
      <c r="F265" t="s">
        <v>28</v>
      </c>
      <c r="G265" t="s">
        <v>21</v>
      </c>
      <c r="H265" t="s">
        <v>35</v>
      </c>
      <c r="I265">
        <v>3</v>
      </c>
      <c r="J265" s="3">
        <v>170700</v>
      </c>
      <c r="K265" s="3">
        <v>204700</v>
      </c>
      <c r="L265" s="3">
        <v>614100</v>
      </c>
      <c r="M265" s="3">
        <v>102000</v>
      </c>
      <c r="N265" t="s">
        <v>37</v>
      </c>
      <c r="O265" t="s">
        <v>45</v>
      </c>
      <c r="P265">
        <v>180</v>
      </c>
    </row>
    <row r="266" spans="1:16" hidden="1" x14ac:dyDescent="0.35">
      <c r="A266" t="s">
        <v>349</v>
      </c>
      <c r="B266" s="2">
        <v>46272</v>
      </c>
      <c r="C266" t="s">
        <v>69</v>
      </c>
      <c r="D266" t="s">
        <v>70</v>
      </c>
      <c r="E266" t="s">
        <v>54</v>
      </c>
      <c r="F266" t="s">
        <v>64</v>
      </c>
      <c r="G266" t="s">
        <v>77</v>
      </c>
      <c r="H266" t="s">
        <v>50</v>
      </c>
      <c r="I266">
        <v>4</v>
      </c>
      <c r="J266" s="3">
        <v>10800</v>
      </c>
      <c r="K266" s="3">
        <v>12800</v>
      </c>
      <c r="L266" s="3">
        <v>51200</v>
      </c>
      <c r="M266" s="3">
        <v>8000</v>
      </c>
      <c r="N266" t="s">
        <v>37</v>
      </c>
      <c r="O266" t="s">
        <v>24</v>
      </c>
      <c r="P266">
        <v>30</v>
      </c>
    </row>
    <row r="267" spans="1:16" hidden="1" x14ac:dyDescent="0.35">
      <c r="A267" t="s">
        <v>350</v>
      </c>
      <c r="B267" s="2">
        <v>46151</v>
      </c>
      <c r="C267" t="s">
        <v>57</v>
      </c>
      <c r="D267" t="s">
        <v>58</v>
      </c>
      <c r="E267" t="s">
        <v>49</v>
      </c>
      <c r="F267" t="s">
        <v>59</v>
      </c>
      <c r="G267" t="s">
        <v>77</v>
      </c>
      <c r="H267" t="s">
        <v>30</v>
      </c>
      <c r="I267">
        <v>-1</v>
      </c>
      <c r="J267" s="3">
        <v>81000</v>
      </c>
      <c r="K267" s="3">
        <v>102000</v>
      </c>
      <c r="L267" s="3">
        <v>-102000</v>
      </c>
      <c r="M267" s="3">
        <v>-21000</v>
      </c>
      <c r="N267" t="s">
        <v>31</v>
      </c>
      <c r="O267" t="s">
        <v>60</v>
      </c>
      <c r="P267">
        <v>90</v>
      </c>
    </row>
    <row r="268" spans="1:16" hidden="1" x14ac:dyDescent="0.35">
      <c r="A268" t="s">
        <v>351</v>
      </c>
      <c r="B268" s="2">
        <v>46119</v>
      </c>
      <c r="C268" t="s">
        <v>52</v>
      </c>
      <c r="D268" t="s">
        <v>53</v>
      </c>
      <c r="E268" t="s">
        <v>54</v>
      </c>
      <c r="F268" t="s">
        <v>55</v>
      </c>
      <c r="G268" t="s">
        <v>39</v>
      </c>
      <c r="H268" t="s">
        <v>30</v>
      </c>
      <c r="I268">
        <v>-1</v>
      </c>
      <c r="J268" s="3">
        <v>17200</v>
      </c>
      <c r="K268" s="3">
        <v>22500</v>
      </c>
      <c r="L268" s="3">
        <v>-22500</v>
      </c>
      <c r="M268" s="3">
        <v>-5300</v>
      </c>
      <c r="N268" t="s">
        <v>40</v>
      </c>
      <c r="O268" t="s">
        <v>60</v>
      </c>
      <c r="P268">
        <v>30</v>
      </c>
    </row>
    <row r="269" spans="1:16" x14ac:dyDescent="0.35">
      <c r="A269" t="s">
        <v>352</v>
      </c>
      <c r="B269" s="2">
        <v>46282</v>
      </c>
      <c r="C269" t="s">
        <v>62</v>
      </c>
      <c r="D269" t="s">
        <v>63</v>
      </c>
      <c r="E269" t="s">
        <v>54</v>
      </c>
      <c r="F269" t="s">
        <v>64</v>
      </c>
      <c r="G269" t="s">
        <v>29</v>
      </c>
      <c r="H269" t="s">
        <v>35</v>
      </c>
      <c r="I269">
        <v>1</v>
      </c>
      <c r="J269" s="3">
        <v>29300</v>
      </c>
      <c r="K269" s="3">
        <v>37700</v>
      </c>
      <c r="L269" s="3">
        <v>37700</v>
      </c>
      <c r="M269" s="3">
        <v>8400</v>
      </c>
      <c r="N269" t="s">
        <v>40</v>
      </c>
      <c r="O269" t="s">
        <v>45</v>
      </c>
      <c r="P269">
        <v>30</v>
      </c>
    </row>
    <row r="270" spans="1:16" hidden="1" x14ac:dyDescent="0.35">
      <c r="A270" t="s">
        <v>353</v>
      </c>
      <c r="B270" s="2">
        <v>46256</v>
      </c>
      <c r="C270" t="s">
        <v>81</v>
      </c>
      <c r="D270" t="s">
        <v>82</v>
      </c>
      <c r="E270" t="s">
        <v>44</v>
      </c>
      <c r="F270" t="s">
        <v>83</v>
      </c>
      <c r="G270" t="s">
        <v>21</v>
      </c>
      <c r="H270" t="s">
        <v>30</v>
      </c>
      <c r="I270">
        <v>2</v>
      </c>
      <c r="J270" s="3">
        <v>242500</v>
      </c>
      <c r="K270" s="3">
        <v>306300</v>
      </c>
      <c r="L270" s="3">
        <v>612600</v>
      </c>
      <c r="M270" s="3">
        <v>127600</v>
      </c>
      <c r="N270" t="s">
        <v>37</v>
      </c>
      <c r="O270" t="s">
        <v>24</v>
      </c>
      <c r="P270">
        <v>180</v>
      </c>
    </row>
    <row r="271" spans="1:16" hidden="1" x14ac:dyDescent="0.35">
      <c r="A271" t="s">
        <v>354</v>
      </c>
      <c r="B271" s="2">
        <v>46070</v>
      </c>
      <c r="C271" t="s">
        <v>134</v>
      </c>
      <c r="D271" t="s">
        <v>135</v>
      </c>
      <c r="E271" t="s">
        <v>106</v>
      </c>
      <c r="F271" t="s">
        <v>76</v>
      </c>
      <c r="G271" t="s">
        <v>39</v>
      </c>
      <c r="H271" t="s">
        <v>50</v>
      </c>
      <c r="I271">
        <v>-2</v>
      </c>
      <c r="J271" s="3">
        <v>19400</v>
      </c>
      <c r="K271" s="3">
        <v>25500</v>
      </c>
      <c r="L271" s="3">
        <v>-51000</v>
      </c>
      <c r="M271" s="3">
        <v>-12200</v>
      </c>
      <c r="N271" t="s">
        <v>31</v>
      </c>
      <c r="O271" t="s">
        <v>60</v>
      </c>
      <c r="P271">
        <v>90</v>
      </c>
    </row>
    <row r="272" spans="1:16" hidden="1" x14ac:dyDescent="0.35">
      <c r="A272" t="s">
        <v>355</v>
      </c>
      <c r="B272" s="2">
        <v>46196</v>
      </c>
      <c r="C272" t="s">
        <v>95</v>
      </c>
      <c r="D272" t="s">
        <v>96</v>
      </c>
      <c r="E272" t="s">
        <v>19</v>
      </c>
      <c r="F272" t="s">
        <v>28</v>
      </c>
      <c r="G272" t="s">
        <v>21</v>
      </c>
      <c r="H272" t="s">
        <v>22</v>
      </c>
      <c r="I272">
        <v>5</v>
      </c>
      <c r="J272" s="3">
        <v>270600</v>
      </c>
      <c r="K272" s="3">
        <v>305500</v>
      </c>
      <c r="L272" s="3">
        <v>1527500</v>
      </c>
      <c r="M272" s="3">
        <v>174500</v>
      </c>
      <c r="N272" t="s">
        <v>23</v>
      </c>
      <c r="O272" t="s">
        <v>45</v>
      </c>
      <c r="P272">
        <v>180</v>
      </c>
    </row>
    <row r="273" spans="1:16" x14ac:dyDescent="0.35">
      <c r="A273" t="s">
        <v>356</v>
      </c>
      <c r="B273" s="2">
        <v>46140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H273" t="s">
        <v>35</v>
      </c>
      <c r="I273">
        <v>-1</v>
      </c>
      <c r="J273" s="3">
        <v>216200</v>
      </c>
      <c r="K273" s="3">
        <v>264200</v>
      </c>
      <c r="L273" s="3">
        <v>-264200</v>
      </c>
      <c r="M273" s="3">
        <v>-48000</v>
      </c>
      <c r="N273" t="s">
        <v>37</v>
      </c>
      <c r="O273" t="s">
        <v>60</v>
      </c>
      <c r="P273">
        <v>180</v>
      </c>
    </row>
    <row r="274" spans="1:16" hidden="1" x14ac:dyDescent="0.35">
      <c r="A274" t="s">
        <v>357</v>
      </c>
      <c r="B274" s="2">
        <v>46039</v>
      </c>
      <c r="C274" t="s">
        <v>62</v>
      </c>
      <c r="D274" t="s">
        <v>63</v>
      </c>
      <c r="E274" t="s">
        <v>54</v>
      </c>
      <c r="F274" t="s">
        <v>64</v>
      </c>
      <c r="G274" t="s">
        <v>21</v>
      </c>
      <c r="H274" t="s">
        <v>22</v>
      </c>
      <c r="I274">
        <v>1</v>
      </c>
      <c r="J274" s="3">
        <v>28600</v>
      </c>
      <c r="K274" s="3">
        <v>35400</v>
      </c>
      <c r="L274" s="3">
        <v>35400</v>
      </c>
      <c r="M274" s="3">
        <v>6800</v>
      </c>
      <c r="N274" t="s">
        <v>31</v>
      </c>
      <c r="O274" t="s">
        <v>24</v>
      </c>
      <c r="P274">
        <v>30</v>
      </c>
    </row>
    <row r="275" spans="1:16" x14ac:dyDescent="0.35">
      <c r="A275" t="s">
        <v>358</v>
      </c>
      <c r="B275" s="2">
        <v>46205</v>
      </c>
      <c r="C275" t="s">
        <v>119</v>
      </c>
      <c r="D275" t="s">
        <v>120</v>
      </c>
      <c r="E275" t="s">
        <v>54</v>
      </c>
      <c r="F275" t="s">
        <v>83</v>
      </c>
      <c r="G275" t="s">
        <v>77</v>
      </c>
      <c r="H275" t="s">
        <v>35</v>
      </c>
      <c r="I275">
        <v>3</v>
      </c>
      <c r="J275" s="3">
        <v>32800</v>
      </c>
      <c r="K275" s="3">
        <v>37300</v>
      </c>
      <c r="L275" s="3">
        <v>111900</v>
      </c>
      <c r="M275" s="3">
        <v>13500</v>
      </c>
      <c r="N275" t="s">
        <v>37</v>
      </c>
      <c r="O275" t="s">
        <v>24</v>
      </c>
      <c r="P275">
        <v>30</v>
      </c>
    </row>
    <row r="276" spans="1:16" x14ac:dyDescent="0.35">
      <c r="A276" t="s">
        <v>359</v>
      </c>
      <c r="B276" s="2">
        <v>46190</v>
      </c>
      <c r="C276" t="s">
        <v>90</v>
      </c>
      <c r="D276" t="s">
        <v>91</v>
      </c>
      <c r="E276" t="s">
        <v>19</v>
      </c>
      <c r="F276" t="s">
        <v>92</v>
      </c>
      <c r="G276" t="s">
        <v>39</v>
      </c>
      <c r="H276" t="s">
        <v>35</v>
      </c>
      <c r="I276">
        <v>1</v>
      </c>
      <c r="J276" s="3">
        <v>253000</v>
      </c>
      <c r="K276" s="3">
        <v>301000</v>
      </c>
      <c r="L276" s="3">
        <v>301000</v>
      </c>
      <c r="M276" s="3">
        <v>48000</v>
      </c>
      <c r="N276" t="s">
        <v>23</v>
      </c>
      <c r="O276" t="s">
        <v>45</v>
      </c>
      <c r="P276">
        <v>180</v>
      </c>
    </row>
    <row r="277" spans="1:16" hidden="1" x14ac:dyDescent="0.35">
      <c r="A277" t="s">
        <v>360</v>
      </c>
      <c r="B277" s="2">
        <v>46151</v>
      </c>
      <c r="C277" t="s">
        <v>17</v>
      </c>
      <c r="D277" t="s">
        <v>18</v>
      </c>
      <c r="E277" t="s">
        <v>19</v>
      </c>
      <c r="F277" t="s">
        <v>20</v>
      </c>
      <c r="G277" t="s">
        <v>29</v>
      </c>
      <c r="H277" t="s">
        <v>50</v>
      </c>
      <c r="I277">
        <v>1</v>
      </c>
      <c r="J277" s="3">
        <v>183200</v>
      </c>
      <c r="K277" s="3">
        <v>217800</v>
      </c>
      <c r="L277" s="3">
        <v>217800</v>
      </c>
      <c r="M277" s="3">
        <v>34600</v>
      </c>
      <c r="N277" t="s">
        <v>31</v>
      </c>
      <c r="O277" t="s">
        <v>24</v>
      </c>
      <c r="P277">
        <v>180</v>
      </c>
    </row>
    <row r="278" spans="1:16" hidden="1" x14ac:dyDescent="0.35">
      <c r="A278" t="s">
        <v>361</v>
      </c>
      <c r="B278" s="2">
        <v>46122</v>
      </c>
      <c r="C278" t="s">
        <v>134</v>
      </c>
      <c r="D278" t="s">
        <v>135</v>
      </c>
      <c r="E278" t="s">
        <v>106</v>
      </c>
      <c r="F278" t="s">
        <v>76</v>
      </c>
      <c r="G278" t="s">
        <v>21</v>
      </c>
      <c r="H278" t="s">
        <v>30</v>
      </c>
      <c r="I278">
        <v>2</v>
      </c>
      <c r="J278" s="3">
        <v>33800</v>
      </c>
      <c r="K278" s="3">
        <v>41000</v>
      </c>
      <c r="L278" s="3">
        <v>82000</v>
      </c>
      <c r="M278" s="3">
        <v>14400</v>
      </c>
      <c r="N278" t="s">
        <v>23</v>
      </c>
      <c r="O278" t="s">
        <v>24</v>
      </c>
      <c r="P278">
        <v>90</v>
      </c>
    </row>
    <row r="279" spans="1:16" x14ac:dyDescent="0.35">
      <c r="A279" t="s">
        <v>362</v>
      </c>
      <c r="B279" s="2">
        <v>46136</v>
      </c>
      <c r="C279" t="s">
        <v>69</v>
      </c>
      <c r="D279" t="s">
        <v>70</v>
      </c>
      <c r="E279" t="s">
        <v>54</v>
      </c>
      <c r="F279" t="s">
        <v>64</v>
      </c>
      <c r="G279" t="s">
        <v>29</v>
      </c>
      <c r="H279" t="s">
        <v>35</v>
      </c>
      <c r="I279">
        <v>1</v>
      </c>
      <c r="J279" s="3">
        <v>31700</v>
      </c>
      <c r="K279" s="3">
        <v>38400</v>
      </c>
      <c r="L279" s="3">
        <v>38400</v>
      </c>
      <c r="M279" s="3">
        <v>6700</v>
      </c>
      <c r="N279" t="s">
        <v>23</v>
      </c>
      <c r="O279" t="s">
        <v>24</v>
      </c>
      <c r="P279">
        <v>30</v>
      </c>
    </row>
    <row r="280" spans="1:16" hidden="1" x14ac:dyDescent="0.35">
      <c r="A280" t="s">
        <v>363</v>
      </c>
      <c r="B280" s="2">
        <v>46127</v>
      </c>
      <c r="C280" t="s">
        <v>104</v>
      </c>
      <c r="D280" t="s">
        <v>105</v>
      </c>
      <c r="E280" t="s">
        <v>106</v>
      </c>
      <c r="F280" t="s">
        <v>76</v>
      </c>
      <c r="G280" t="s">
        <v>21</v>
      </c>
      <c r="H280" t="s">
        <v>22</v>
      </c>
      <c r="I280">
        <v>1</v>
      </c>
      <c r="J280" s="3">
        <v>21800</v>
      </c>
      <c r="K280" s="3">
        <v>28200</v>
      </c>
      <c r="L280" s="3">
        <v>28200</v>
      </c>
      <c r="M280" s="3">
        <v>6400</v>
      </c>
      <c r="N280" t="s">
        <v>31</v>
      </c>
      <c r="O280" t="s">
        <v>24</v>
      </c>
      <c r="P280">
        <v>90</v>
      </c>
    </row>
    <row r="281" spans="1:16" x14ac:dyDescent="0.35">
      <c r="A281" t="s">
        <v>364</v>
      </c>
      <c r="B281" s="2">
        <v>46227</v>
      </c>
      <c r="C281" t="s">
        <v>87</v>
      </c>
      <c r="D281" t="s">
        <v>88</v>
      </c>
      <c r="E281" t="s">
        <v>75</v>
      </c>
      <c r="F281" t="s">
        <v>76</v>
      </c>
      <c r="G281" t="s">
        <v>39</v>
      </c>
      <c r="H281" t="s">
        <v>35</v>
      </c>
      <c r="I281">
        <v>-2</v>
      </c>
      <c r="J281" s="3">
        <v>51400</v>
      </c>
      <c r="K281" s="3">
        <v>64100</v>
      </c>
      <c r="L281" s="3">
        <v>-128200</v>
      </c>
      <c r="M281" s="3">
        <v>-25400</v>
      </c>
      <c r="N281" t="s">
        <v>31</v>
      </c>
      <c r="O281" t="s">
        <v>60</v>
      </c>
      <c r="P281">
        <v>90</v>
      </c>
    </row>
    <row r="282" spans="1:16" x14ac:dyDescent="0.35">
      <c r="A282" t="s">
        <v>365</v>
      </c>
      <c r="B282" s="2">
        <v>46070</v>
      </c>
      <c r="C282" t="s">
        <v>62</v>
      </c>
      <c r="D282" t="s">
        <v>63</v>
      </c>
      <c r="E282" t="s">
        <v>54</v>
      </c>
      <c r="F282" t="s">
        <v>64</v>
      </c>
      <c r="G282" t="s">
        <v>29</v>
      </c>
      <c r="H282" t="s">
        <v>35</v>
      </c>
      <c r="I282">
        <v>2</v>
      </c>
      <c r="J282" s="3">
        <v>24300</v>
      </c>
      <c r="K282" s="3">
        <v>31200</v>
      </c>
      <c r="L282" s="3">
        <v>62400</v>
      </c>
      <c r="M282" s="3">
        <v>13800</v>
      </c>
      <c r="N282" t="s">
        <v>23</v>
      </c>
      <c r="O282" t="s">
        <v>24</v>
      </c>
      <c r="P282">
        <v>30</v>
      </c>
    </row>
    <row r="283" spans="1:16" hidden="1" x14ac:dyDescent="0.35">
      <c r="A283" t="s">
        <v>366</v>
      </c>
      <c r="B283" s="2">
        <v>46225</v>
      </c>
      <c r="C283" t="s">
        <v>66</v>
      </c>
      <c r="D283" t="s">
        <v>67</v>
      </c>
      <c r="E283" t="s">
        <v>44</v>
      </c>
      <c r="F283" t="s">
        <v>20</v>
      </c>
      <c r="G283" t="s">
        <v>21</v>
      </c>
      <c r="H283" t="s">
        <v>50</v>
      </c>
      <c r="I283">
        <v>-2</v>
      </c>
      <c r="J283" s="3">
        <v>203600</v>
      </c>
      <c r="K283" s="3">
        <v>235500</v>
      </c>
      <c r="L283" s="3">
        <v>-471000</v>
      </c>
      <c r="M283" s="3">
        <v>-63800</v>
      </c>
      <c r="N283" t="s">
        <v>37</v>
      </c>
      <c r="O283" t="s">
        <v>60</v>
      </c>
      <c r="P283">
        <v>180</v>
      </c>
    </row>
    <row r="284" spans="1:16" x14ac:dyDescent="0.35">
      <c r="A284" t="s">
        <v>367</v>
      </c>
      <c r="B284" s="2">
        <v>46112</v>
      </c>
      <c r="C284" t="s">
        <v>119</v>
      </c>
      <c r="D284" t="s">
        <v>120</v>
      </c>
      <c r="E284" t="s">
        <v>54</v>
      </c>
      <c r="F284" t="s">
        <v>83</v>
      </c>
      <c r="G284" t="s">
        <v>21</v>
      </c>
      <c r="H284" t="s">
        <v>35</v>
      </c>
      <c r="I284">
        <v>2</v>
      </c>
      <c r="J284" s="3">
        <v>12200</v>
      </c>
      <c r="K284" s="3">
        <v>15200</v>
      </c>
      <c r="L284" s="3">
        <v>30400</v>
      </c>
      <c r="M284" s="3">
        <v>6000</v>
      </c>
      <c r="N284" t="s">
        <v>40</v>
      </c>
      <c r="O284" t="s">
        <v>24</v>
      </c>
      <c r="P284">
        <v>30</v>
      </c>
    </row>
    <row r="285" spans="1:16" hidden="1" x14ac:dyDescent="0.35">
      <c r="A285" t="s">
        <v>368</v>
      </c>
      <c r="B285" s="2">
        <v>46031</v>
      </c>
      <c r="C285" t="s">
        <v>95</v>
      </c>
      <c r="D285" t="s">
        <v>96</v>
      </c>
      <c r="E285" t="s">
        <v>19</v>
      </c>
      <c r="F285" t="s">
        <v>28</v>
      </c>
      <c r="G285" t="s">
        <v>21</v>
      </c>
      <c r="H285" t="s">
        <v>50</v>
      </c>
      <c r="I285">
        <v>1</v>
      </c>
      <c r="J285" s="3">
        <v>224000</v>
      </c>
      <c r="K285" s="3">
        <v>271100</v>
      </c>
      <c r="L285" s="3">
        <v>271100</v>
      </c>
      <c r="M285" s="3">
        <v>47100</v>
      </c>
      <c r="N285" t="s">
        <v>40</v>
      </c>
      <c r="O285" t="s">
        <v>24</v>
      </c>
      <c r="P285">
        <v>180</v>
      </c>
    </row>
    <row r="286" spans="1:16" hidden="1" x14ac:dyDescent="0.35">
      <c r="A286" t="s">
        <v>369</v>
      </c>
      <c r="B286" s="2">
        <v>46239</v>
      </c>
      <c r="C286" t="s">
        <v>52</v>
      </c>
      <c r="D286" t="s">
        <v>53</v>
      </c>
      <c r="E286" t="s">
        <v>54</v>
      </c>
      <c r="F286" t="s">
        <v>55</v>
      </c>
      <c r="G286" t="s">
        <v>21</v>
      </c>
      <c r="H286" t="s">
        <v>30</v>
      </c>
      <c r="I286">
        <v>1</v>
      </c>
      <c r="J286" s="3">
        <v>34000</v>
      </c>
      <c r="K286" s="3">
        <v>41500</v>
      </c>
      <c r="L286" s="3">
        <v>41500</v>
      </c>
      <c r="M286" s="3">
        <v>7500</v>
      </c>
      <c r="N286" t="s">
        <v>40</v>
      </c>
      <c r="O286" t="s">
        <v>45</v>
      </c>
      <c r="P286">
        <v>30</v>
      </c>
    </row>
    <row r="287" spans="1:16" x14ac:dyDescent="0.35">
      <c r="A287" t="s">
        <v>370</v>
      </c>
      <c r="B287" s="2">
        <v>46167</v>
      </c>
      <c r="C287" t="s">
        <v>26</v>
      </c>
      <c r="D287" t="s">
        <v>27</v>
      </c>
      <c r="E287" t="s">
        <v>19</v>
      </c>
      <c r="F287" t="s">
        <v>28</v>
      </c>
      <c r="G287" t="s">
        <v>29</v>
      </c>
      <c r="H287" t="s">
        <v>35</v>
      </c>
      <c r="I287">
        <v>1</v>
      </c>
      <c r="J287" s="3">
        <v>259200</v>
      </c>
      <c r="K287" s="3">
        <v>331600</v>
      </c>
      <c r="L287" s="3">
        <v>331600</v>
      </c>
      <c r="M287" s="3">
        <v>72400</v>
      </c>
      <c r="N287" t="s">
        <v>40</v>
      </c>
      <c r="O287" t="s">
        <v>24</v>
      </c>
      <c r="P287">
        <v>180</v>
      </c>
    </row>
    <row r="288" spans="1:16" x14ac:dyDescent="0.35">
      <c r="A288" t="s">
        <v>371</v>
      </c>
      <c r="B288" s="2">
        <v>46084</v>
      </c>
      <c r="C288" t="s">
        <v>62</v>
      </c>
      <c r="D288" t="s">
        <v>63</v>
      </c>
      <c r="E288" t="s">
        <v>54</v>
      </c>
      <c r="F288" t="s">
        <v>64</v>
      </c>
      <c r="G288" t="s">
        <v>39</v>
      </c>
      <c r="H288" t="s">
        <v>35</v>
      </c>
      <c r="I288">
        <v>-1</v>
      </c>
      <c r="J288" s="3">
        <v>22800</v>
      </c>
      <c r="K288" s="3">
        <v>29100</v>
      </c>
      <c r="L288" s="3">
        <v>-29100</v>
      </c>
      <c r="M288" s="3">
        <v>-6300</v>
      </c>
      <c r="N288" t="s">
        <v>31</v>
      </c>
      <c r="O288" t="s">
        <v>60</v>
      </c>
      <c r="P288">
        <v>30</v>
      </c>
    </row>
    <row r="289" spans="1:16" hidden="1" x14ac:dyDescent="0.35">
      <c r="A289" t="s">
        <v>372</v>
      </c>
      <c r="B289" s="2">
        <v>46138</v>
      </c>
      <c r="C289" t="s">
        <v>134</v>
      </c>
      <c r="D289" t="s">
        <v>135</v>
      </c>
      <c r="E289" t="s">
        <v>106</v>
      </c>
      <c r="F289" t="s">
        <v>76</v>
      </c>
      <c r="G289" t="s">
        <v>21</v>
      </c>
      <c r="H289" t="s">
        <v>22</v>
      </c>
      <c r="I289">
        <v>-2</v>
      </c>
      <c r="J289" s="3">
        <v>48400</v>
      </c>
      <c r="K289" s="3">
        <v>54600</v>
      </c>
      <c r="L289" s="3">
        <v>-109200</v>
      </c>
      <c r="M289" s="3">
        <v>-12400</v>
      </c>
      <c r="N289" t="s">
        <v>40</v>
      </c>
      <c r="O289" t="s">
        <v>60</v>
      </c>
      <c r="P289">
        <v>90</v>
      </c>
    </row>
    <row r="290" spans="1:16" hidden="1" x14ac:dyDescent="0.35">
      <c r="A290" t="s">
        <v>373</v>
      </c>
      <c r="B290" s="2">
        <v>46251</v>
      </c>
      <c r="C290" t="s">
        <v>42</v>
      </c>
      <c r="D290" t="s">
        <v>43</v>
      </c>
      <c r="E290" t="s">
        <v>44</v>
      </c>
      <c r="F290" t="s">
        <v>28</v>
      </c>
      <c r="G290" t="s">
        <v>39</v>
      </c>
      <c r="H290" t="s">
        <v>50</v>
      </c>
      <c r="I290">
        <v>1</v>
      </c>
      <c r="J290" s="3">
        <v>266200</v>
      </c>
      <c r="K290" s="3">
        <v>299900</v>
      </c>
      <c r="L290" s="3">
        <v>299900</v>
      </c>
      <c r="M290" s="3">
        <v>33700</v>
      </c>
      <c r="N290" t="s">
        <v>40</v>
      </c>
      <c r="O290" t="s">
        <v>24</v>
      </c>
      <c r="P290">
        <v>180</v>
      </c>
    </row>
    <row r="291" spans="1:16" hidden="1" x14ac:dyDescent="0.35">
      <c r="A291" t="s">
        <v>374</v>
      </c>
      <c r="B291" s="2">
        <v>46111</v>
      </c>
      <c r="C291" t="s">
        <v>104</v>
      </c>
      <c r="D291" t="s">
        <v>105</v>
      </c>
      <c r="E291" t="s">
        <v>106</v>
      </c>
      <c r="F291" t="s">
        <v>76</v>
      </c>
      <c r="G291" t="s">
        <v>29</v>
      </c>
      <c r="H291" t="s">
        <v>50</v>
      </c>
      <c r="I291">
        <v>2</v>
      </c>
      <c r="J291" s="3">
        <v>43500</v>
      </c>
      <c r="K291" s="3">
        <v>56200</v>
      </c>
      <c r="L291" s="3">
        <v>112400</v>
      </c>
      <c r="M291" s="3">
        <v>25400</v>
      </c>
      <c r="N291" t="s">
        <v>40</v>
      </c>
      <c r="O291" t="s">
        <v>45</v>
      </c>
      <c r="P291">
        <v>90</v>
      </c>
    </row>
    <row r="292" spans="1:16" x14ac:dyDescent="0.35">
      <c r="A292" t="s">
        <v>375</v>
      </c>
      <c r="B292" s="2">
        <v>46192</v>
      </c>
      <c r="C292" t="s">
        <v>101</v>
      </c>
      <c r="D292" t="s">
        <v>102</v>
      </c>
      <c r="E292" t="s">
        <v>19</v>
      </c>
      <c r="F292" t="s">
        <v>83</v>
      </c>
      <c r="G292" t="s">
        <v>77</v>
      </c>
      <c r="H292" t="s">
        <v>35</v>
      </c>
      <c r="I292">
        <v>2</v>
      </c>
      <c r="J292" s="3">
        <v>259800</v>
      </c>
      <c r="K292" s="3">
        <v>318600</v>
      </c>
      <c r="L292" s="3">
        <v>637200</v>
      </c>
      <c r="M292" s="3">
        <v>117600</v>
      </c>
      <c r="N292" t="s">
        <v>31</v>
      </c>
      <c r="O292" t="s">
        <v>24</v>
      </c>
      <c r="P292">
        <v>180</v>
      </c>
    </row>
    <row r="293" spans="1:16" hidden="1" x14ac:dyDescent="0.35">
      <c r="A293" t="s">
        <v>376</v>
      </c>
      <c r="B293" s="2">
        <v>46057</v>
      </c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50</v>
      </c>
      <c r="I293">
        <v>1</v>
      </c>
      <c r="J293" s="3">
        <v>74300</v>
      </c>
      <c r="K293" s="3">
        <v>93300</v>
      </c>
      <c r="L293" s="3">
        <v>93300</v>
      </c>
      <c r="M293" s="3">
        <v>19000</v>
      </c>
      <c r="N293" t="s">
        <v>40</v>
      </c>
      <c r="O293" t="s">
        <v>45</v>
      </c>
      <c r="P293">
        <v>90</v>
      </c>
    </row>
    <row r="294" spans="1:16" x14ac:dyDescent="0.35">
      <c r="A294" t="s">
        <v>377</v>
      </c>
      <c r="B294" s="2">
        <v>46277</v>
      </c>
      <c r="C294" t="s">
        <v>66</v>
      </c>
      <c r="D294" t="s">
        <v>67</v>
      </c>
      <c r="E294" t="s">
        <v>44</v>
      </c>
      <c r="F294" t="s">
        <v>20</v>
      </c>
      <c r="G294" t="s">
        <v>29</v>
      </c>
      <c r="H294" t="s">
        <v>35</v>
      </c>
      <c r="I294">
        <v>1</v>
      </c>
      <c r="J294" s="3">
        <v>186100</v>
      </c>
      <c r="K294" s="3">
        <v>220400</v>
      </c>
      <c r="L294" s="3">
        <v>220400</v>
      </c>
      <c r="M294" s="3">
        <v>34300</v>
      </c>
      <c r="N294" t="s">
        <v>37</v>
      </c>
      <c r="O294" t="s">
        <v>45</v>
      </c>
      <c r="P294">
        <v>180</v>
      </c>
    </row>
    <row r="295" spans="1:16" x14ac:dyDescent="0.35">
      <c r="A295" t="s">
        <v>378</v>
      </c>
      <c r="B295" s="2">
        <v>46233</v>
      </c>
      <c r="C295" t="s">
        <v>52</v>
      </c>
      <c r="D295" t="s">
        <v>53</v>
      </c>
      <c r="E295" t="s">
        <v>54</v>
      </c>
      <c r="F295" t="s">
        <v>55</v>
      </c>
      <c r="G295" t="s">
        <v>77</v>
      </c>
      <c r="H295" t="s">
        <v>35</v>
      </c>
      <c r="I295">
        <v>3</v>
      </c>
      <c r="J295" s="3">
        <v>19700</v>
      </c>
      <c r="K295" s="3">
        <v>24600</v>
      </c>
      <c r="L295" s="3">
        <v>73800</v>
      </c>
      <c r="M295" s="3">
        <v>14700</v>
      </c>
      <c r="N295" t="s">
        <v>37</v>
      </c>
      <c r="O295" t="s">
        <v>24</v>
      </c>
      <c r="P295">
        <v>30</v>
      </c>
    </row>
    <row r="296" spans="1:16" hidden="1" x14ac:dyDescent="0.35">
      <c r="A296" t="s">
        <v>379</v>
      </c>
      <c r="B296" s="2">
        <v>46261</v>
      </c>
      <c r="C296" t="s">
        <v>87</v>
      </c>
      <c r="D296" t="s">
        <v>88</v>
      </c>
      <c r="E296" t="s">
        <v>75</v>
      </c>
      <c r="F296" t="s">
        <v>76</v>
      </c>
      <c r="G296" t="s">
        <v>77</v>
      </c>
      <c r="H296" t="s">
        <v>22</v>
      </c>
      <c r="I296">
        <v>2</v>
      </c>
      <c r="J296" s="3">
        <v>41400</v>
      </c>
      <c r="K296" s="3">
        <v>46400</v>
      </c>
      <c r="L296" s="3">
        <v>92800</v>
      </c>
      <c r="M296" s="3">
        <v>10000</v>
      </c>
      <c r="N296" t="s">
        <v>37</v>
      </c>
      <c r="O296" t="s">
        <v>24</v>
      </c>
      <c r="P296">
        <v>90</v>
      </c>
    </row>
    <row r="297" spans="1:16" hidden="1" x14ac:dyDescent="0.35">
      <c r="A297" t="s">
        <v>380</v>
      </c>
      <c r="B297" s="2">
        <v>46172</v>
      </c>
      <c r="C297" t="s">
        <v>90</v>
      </c>
      <c r="D297" t="s">
        <v>91</v>
      </c>
      <c r="E297" t="s">
        <v>19</v>
      </c>
      <c r="F297" t="s">
        <v>92</v>
      </c>
      <c r="G297" t="s">
        <v>77</v>
      </c>
      <c r="H297" t="s">
        <v>50</v>
      </c>
      <c r="I297">
        <v>1</v>
      </c>
      <c r="J297" s="3">
        <v>315500</v>
      </c>
      <c r="K297" s="3">
        <v>405400</v>
      </c>
      <c r="L297" s="3">
        <v>405400</v>
      </c>
      <c r="M297" s="3">
        <v>89900</v>
      </c>
      <c r="N297" t="s">
        <v>37</v>
      </c>
      <c r="O297" t="s">
        <v>24</v>
      </c>
      <c r="P297">
        <v>180</v>
      </c>
    </row>
    <row r="298" spans="1:16" hidden="1" x14ac:dyDescent="0.35">
      <c r="A298" t="s">
        <v>381</v>
      </c>
      <c r="B298" s="2">
        <v>46035</v>
      </c>
      <c r="C298" t="s">
        <v>57</v>
      </c>
      <c r="D298" t="s">
        <v>58</v>
      </c>
      <c r="E298" t="s">
        <v>49</v>
      </c>
      <c r="F298" t="s">
        <v>59</v>
      </c>
      <c r="G298" t="s">
        <v>39</v>
      </c>
      <c r="H298" t="s">
        <v>50</v>
      </c>
      <c r="I298">
        <v>1</v>
      </c>
      <c r="J298" s="3">
        <v>114200</v>
      </c>
      <c r="K298" s="3">
        <v>145300</v>
      </c>
      <c r="L298" s="3">
        <v>145300</v>
      </c>
      <c r="M298" s="3">
        <v>31100</v>
      </c>
      <c r="N298" t="s">
        <v>37</v>
      </c>
      <c r="O298" t="s">
        <v>45</v>
      </c>
      <c r="P298">
        <v>90</v>
      </c>
    </row>
    <row r="299" spans="1:16" x14ac:dyDescent="0.35">
      <c r="A299" t="s">
        <v>382</v>
      </c>
      <c r="B299" s="2">
        <v>46181</v>
      </c>
      <c r="C299" t="s">
        <v>62</v>
      </c>
      <c r="D299" t="s">
        <v>63</v>
      </c>
      <c r="E299" t="s">
        <v>54</v>
      </c>
      <c r="F299" t="s">
        <v>64</v>
      </c>
      <c r="G299" t="s">
        <v>29</v>
      </c>
      <c r="H299" t="s">
        <v>35</v>
      </c>
      <c r="I299">
        <v>1</v>
      </c>
      <c r="J299" s="3">
        <v>7000</v>
      </c>
      <c r="K299" s="3">
        <v>9200</v>
      </c>
      <c r="L299" s="3">
        <v>9200</v>
      </c>
      <c r="M299" s="3">
        <v>2200</v>
      </c>
      <c r="N299" t="s">
        <v>23</v>
      </c>
      <c r="O299" t="s">
        <v>24</v>
      </c>
      <c r="P299">
        <v>30</v>
      </c>
    </row>
    <row r="300" spans="1:16" x14ac:dyDescent="0.35">
      <c r="A300" t="s">
        <v>383</v>
      </c>
      <c r="B300" s="2">
        <v>46053</v>
      </c>
      <c r="C300" t="s">
        <v>47</v>
      </c>
      <c r="D300" t="s">
        <v>48</v>
      </c>
      <c r="E300" t="s">
        <v>49</v>
      </c>
      <c r="F300" t="s">
        <v>20</v>
      </c>
      <c r="G300" t="s">
        <v>21</v>
      </c>
      <c r="H300" t="s">
        <v>35</v>
      </c>
      <c r="I300">
        <v>3</v>
      </c>
      <c r="J300" s="3">
        <v>78800</v>
      </c>
      <c r="K300" s="3">
        <v>94100</v>
      </c>
      <c r="L300" s="3">
        <v>282300</v>
      </c>
      <c r="M300" s="3">
        <v>45900</v>
      </c>
      <c r="N300" t="s">
        <v>40</v>
      </c>
      <c r="O300" t="s">
        <v>24</v>
      </c>
      <c r="P300">
        <v>90</v>
      </c>
    </row>
    <row r="301" spans="1:16" hidden="1" x14ac:dyDescent="0.35">
      <c r="A301" t="s">
        <v>384</v>
      </c>
      <c r="B301" s="2">
        <v>46066</v>
      </c>
      <c r="C301" t="s">
        <v>119</v>
      </c>
      <c r="D301" t="s">
        <v>120</v>
      </c>
      <c r="E301" t="s">
        <v>54</v>
      </c>
      <c r="F301" t="s">
        <v>83</v>
      </c>
      <c r="G301" t="s">
        <v>29</v>
      </c>
      <c r="H301" t="s">
        <v>50</v>
      </c>
      <c r="I301">
        <v>1</v>
      </c>
      <c r="J301" s="3">
        <v>25400</v>
      </c>
      <c r="K301" s="3">
        <v>32000</v>
      </c>
      <c r="L301" s="3">
        <v>32000</v>
      </c>
      <c r="M301" s="3">
        <v>6600</v>
      </c>
      <c r="N301" t="s">
        <v>37</v>
      </c>
      <c r="O301" t="s">
        <v>45</v>
      </c>
      <c r="P301">
        <v>30</v>
      </c>
    </row>
    <row r="302" spans="1:16" hidden="1" x14ac:dyDescent="0.35">
      <c r="A302" t="s">
        <v>385</v>
      </c>
      <c r="B302" s="2">
        <v>46094</v>
      </c>
      <c r="C302" t="s">
        <v>33</v>
      </c>
      <c r="D302" t="s">
        <v>34</v>
      </c>
      <c r="E302" t="s">
        <v>19</v>
      </c>
      <c r="F302" t="s">
        <v>20</v>
      </c>
      <c r="G302" t="s">
        <v>21</v>
      </c>
      <c r="H302" t="s">
        <v>22</v>
      </c>
      <c r="I302">
        <v>1</v>
      </c>
      <c r="J302" s="3">
        <v>181100</v>
      </c>
      <c r="K302" s="3">
        <v>215300</v>
      </c>
      <c r="L302" s="3">
        <v>215300</v>
      </c>
      <c r="M302" s="3">
        <v>34200</v>
      </c>
      <c r="N302" t="s">
        <v>40</v>
      </c>
      <c r="O302" t="s">
        <v>45</v>
      </c>
      <c r="P302">
        <v>180</v>
      </c>
    </row>
    <row r="303" spans="1:16" hidden="1" x14ac:dyDescent="0.35">
      <c r="A303" t="s">
        <v>386</v>
      </c>
      <c r="B303" s="2">
        <v>46180</v>
      </c>
      <c r="C303" t="s">
        <v>52</v>
      </c>
      <c r="D303" t="s">
        <v>53</v>
      </c>
      <c r="E303" t="s">
        <v>54</v>
      </c>
      <c r="F303" t="s">
        <v>55</v>
      </c>
      <c r="G303" t="s">
        <v>29</v>
      </c>
      <c r="H303" t="s">
        <v>30</v>
      </c>
      <c r="I303">
        <v>1</v>
      </c>
      <c r="J303" s="3">
        <v>9500</v>
      </c>
      <c r="K303" s="3">
        <v>12200</v>
      </c>
      <c r="L303" s="3">
        <v>12200</v>
      </c>
      <c r="M303" s="3">
        <v>2700</v>
      </c>
      <c r="N303" t="s">
        <v>40</v>
      </c>
      <c r="O303" t="s">
        <v>24</v>
      </c>
      <c r="P303">
        <v>30</v>
      </c>
    </row>
    <row r="304" spans="1:16" hidden="1" x14ac:dyDescent="0.35">
      <c r="A304" t="s">
        <v>387</v>
      </c>
      <c r="B304" s="2">
        <v>46252</v>
      </c>
      <c r="C304" t="s">
        <v>111</v>
      </c>
      <c r="D304" t="s">
        <v>112</v>
      </c>
      <c r="E304" t="s">
        <v>19</v>
      </c>
      <c r="F304" t="s">
        <v>83</v>
      </c>
      <c r="G304" t="s">
        <v>77</v>
      </c>
      <c r="H304" t="s">
        <v>50</v>
      </c>
      <c r="I304">
        <v>2</v>
      </c>
      <c r="J304" s="3">
        <v>189600</v>
      </c>
      <c r="K304" s="3">
        <v>233700</v>
      </c>
      <c r="L304" s="3">
        <v>467400</v>
      </c>
      <c r="M304" s="3">
        <v>88200</v>
      </c>
      <c r="N304" t="s">
        <v>40</v>
      </c>
      <c r="O304" t="s">
        <v>24</v>
      </c>
      <c r="P304">
        <v>180</v>
      </c>
    </row>
    <row r="305" spans="1:16" hidden="1" x14ac:dyDescent="0.35">
      <c r="A305" t="s">
        <v>388</v>
      </c>
      <c r="B305" s="2">
        <v>46098</v>
      </c>
      <c r="C305" t="s">
        <v>119</v>
      </c>
      <c r="D305" t="s">
        <v>120</v>
      </c>
      <c r="E305" t="s">
        <v>54</v>
      </c>
      <c r="F305" t="s">
        <v>83</v>
      </c>
      <c r="G305" t="s">
        <v>39</v>
      </c>
      <c r="H305" t="s">
        <v>30</v>
      </c>
      <c r="I305">
        <v>1</v>
      </c>
      <c r="J305" s="3">
        <v>24300</v>
      </c>
      <c r="K305" s="3">
        <v>29400</v>
      </c>
      <c r="L305" s="3">
        <v>29400</v>
      </c>
      <c r="M305" s="3">
        <v>5100</v>
      </c>
      <c r="N305" t="s">
        <v>31</v>
      </c>
      <c r="O305" t="s">
        <v>24</v>
      </c>
      <c r="P305">
        <v>30</v>
      </c>
    </row>
    <row r="306" spans="1:16" hidden="1" x14ac:dyDescent="0.35">
      <c r="A306" t="s">
        <v>389</v>
      </c>
      <c r="B306" s="2">
        <v>46154</v>
      </c>
      <c r="C306" t="s">
        <v>119</v>
      </c>
      <c r="D306" t="s">
        <v>120</v>
      </c>
      <c r="E306" t="s">
        <v>54</v>
      </c>
      <c r="F306" t="s">
        <v>83</v>
      </c>
      <c r="G306" t="s">
        <v>77</v>
      </c>
      <c r="H306" t="s">
        <v>22</v>
      </c>
      <c r="I306">
        <v>1</v>
      </c>
      <c r="J306" s="3">
        <v>15800</v>
      </c>
      <c r="K306" s="3">
        <v>18100</v>
      </c>
      <c r="L306" s="3">
        <v>18100</v>
      </c>
      <c r="M306" s="3">
        <v>2300</v>
      </c>
      <c r="N306" t="s">
        <v>31</v>
      </c>
      <c r="O306" t="s">
        <v>24</v>
      </c>
      <c r="P306">
        <v>30</v>
      </c>
    </row>
    <row r="307" spans="1:16" hidden="1" x14ac:dyDescent="0.35">
      <c r="A307" t="s">
        <v>390</v>
      </c>
      <c r="B307" s="2">
        <v>46054</v>
      </c>
      <c r="C307" t="s">
        <v>90</v>
      </c>
      <c r="D307" t="s">
        <v>91</v>
      </c>
      <c r="E307" t="s">
        <v>19</v>
      </c>
      <c r="F307" t="s">
        <v>92</v>
      </c>
      <c r="G307" t="s">
        <v>29</v>
      </c>
      <c r="H307" t="s">
        <v>30</v>
      </c>
      <c r="I307">
        <v>2</v>
      </c>
      <c r="J307" s="3">
        <v>252500</v>
      </c>
      <c r="K307" s="3">
        <v>308500</v>
      </c>
      <c r="L307" s="3">
        <v>617000</v>
      </c>
      <c r="M307" s="3">
        <v>112000</v>
      </c>
      <c r="N307" t="s">
        <v>37</v>
      </c>
      <c r="O307" t="s">
        <v>24</v>
      </c>
      <c r="P307">
        <v>180</v>
      </c>
    </row>
    <row r="308" spans="1:16" hidden="1" x14ac:dyDescent="0.35">
      <c r="A308" t="s">
        <v>391</v>
      </c>
      <c r="B308" s="2">
        <v>46211</v>
      </c>
      <c r="C308" t="s">
        <v>17</v>
      </c>
      <c r="D308" t="s">
        <v>18</v>
      </c>
      <c r="E308" t="s">
        <v>19</v>
      </c>
      <c r="F308" t="s">
        <v>20</v>
      </c>
      <c r="G308" t="s">
        <v>77</v>
      </c>
      <c r="H308" t="s">
        <v>50</v>
      </c>
      <c r="I308">
        <v>1</v>
      </c>
      <c r="J308" s="3">
        <v>213800</v>
      </c>
      <c r="K308" s="3">
        <v>266700</v>
      </c>
      <c r="L308" s="3">
        <v>266700</v>
      </c>
      <c r="M308" s="3">
        <v>52900</v>
      </c>
      <c r="N308" t="s">
        <v>37</v>
      </c>
      <c r="O308" t="s">
        <v>24</v>
      </c>
      <c r="P308">
        <v>180</v>
      </c>
    </row>
    <row r="309" spans="1:16" hidden="1" x14ac:dyDescent="0.35">
      <c r="A309" t="s">
        <v>392</v>
      </c>
      <c r="B309" s="2">
        <v>46064</v>
      </c>
      <c r="C309" t="s">
        <v>104</v>
      </c>
      <c r="D309" t="s">
        <v>105</v>
      </c>
      <c r="E309" t="s">
        <v>106</v>
      </c>
      <c r="F309" t="s">
        <v>76</v>
      </c>
      <c r="G309" t="s">
        <v>39</v>
      </c>
      <c r="H309" t="s">
        <v>22</v>
      </c>
      <c r="I309">
        <v>1</v>
      </c>
      <c r="J309" s="3">
        <v>33600</v>
      </c>
      <c r="K309" s="3">
        <v>41300</v>
      </c>
      <c r="L309" s="3">
        <v>41300</v>
      </c>
      <c r="M309" s="3">
        <v>7700</v>
      </c>
      <c r="N309" t="s">
        <v>23</v>
      </c>
      <c r="O309" t="s">
        <v>45</v>
      </c>
      <c r="P309">
        <v>90</v>
      </c>
    </row>
    <row r="310" spans="1:16" hidden="1" x14ac:dyDescent="0.35">
      <c r="A310" t="s">
        <v>393</v>
      </c>
      <c r="B310" s="2">
        <v>46286</v>
      </c>
      <c r="C310" t="s">
        <v>81</v>
      </c>
      <c r="D310" t="s">
        <v>82</v>
      </c>
      <c r="E310" t="s">
        <v>44</v>
      </c>
      <c r="F310" t="s">
        <v>83</v>
      </c>
      <c r="G310" t="s">
        <v>77</v>
      </c>
      <c r="H310" t="s">
        <v>30</v>
      </c>
      <c r="I310">
        <v>4</v>
      </c>
      <c r="J310" s="3">
        <v>193700</v>
      </c>
      <c r="K310" s="3">
        <v>252700</v>
      </c>
      <c r="L310" s="3">
        <v>1010800</v>
      </c>
      <c r="M310" s="3">
        <v>236000</v>
      </c>
      <c r="N310" t="s">
        <v>37</v>
      </c>
      <c r="O310" t="s">
        <v>45</v>
      </c>
      <c r="P310">
        <v>180</v>
      </c>
    </row>
    <row r="311" spans="1:16" hidden="1" x14ac:dyDescent="0.35">
      <c r="A311" t="s">
        <v>394</v>
      </c>
      <c r="B311" s="2">
        <v>46069</v>
      </c>
      <c r="C311" t="s">
        <v>52</v>
      </c>
      <c r="D311" t="s">
        <v>53</v>
      </c>
      <c r="E311" t="s">
        <v>54</v>
      </c>
      <c r="F311" t="s">
        <v>55</v>
      </c>
      <c r="G311" t="s">
        <v>77</v>
      </c>
      <c r="H311" t="s">
        <v>22</v>
      </c>
      <c r="I311">
        <v>2</v>
      </c>
      <c r="J311" s="3">
        <v>9300</v>
      </c>
      <c r="K311" s="3">
        <v>11400</v>
      </c>
      <c r="L311" s="3">
        <v>22800</v>
      </c>
      <c r="M311" s="3">
        <v>4200</v>
      </c>
      <c r="N311" t="s">
        <v>40</v>
      </c>
      <c r="O311" t="s">
        <v>24</v>
      </c>
      <c r="P311">
        <v>30</v>
      </c>
    </row>
    <row r="312" spans="1:16" hidden="1" x14ac:dyDescent="0.35">
      <c r="A312" t="s">
        <v>395</v>
      </c>
      <c r="B312" s="2">
        <v>46185</v>
      </c>
      <c r="C312" t="s">
        <v>111</v>
      </c>
      <c r="D312" t="s">
        <v>112</v>
      </c>
      <c r="E312" t="s">
        <v>19</v>
      </c>
      <c r="F312" t="s">
        <v>83</v>
      </c>
      <c r="G312" t="s">
        <v>21</v>
      </c>
      <c r="H312" t="s">
        <v>50</v>
      </c>
      <c r="I312">
        <v>2</v>
      </c>
      <c r="J312" s="3">
        <v>255100</v>
      </c>
      <c r="K312" s="3">
        <v>305600</v>
      </c>
      <c r="L312" s="3">
        <v>611200</v>
      </c>
      <c r="M312" s="3">
        <v>101000</v>
      </c>
      <c r="N312" t="s">
        <v>23</v>
      </c>
      <c r="O312" t="s">
        <v>24</v>
      </c>
      <c r="P312">
        <v>180</v>
      </c>
    </row>
    <row r="313" spans="1:16" hidden="1" x14ac:dyDescent="0.35">
      <c r="A313" t="s">
        <v>396</v>
      </c>
      <c r="B313" s="2">
        <v>46055</v>
      </c>
      <c r="C313" t="s">
        <v>66</v>
      </c>
      <c r="D313" t="s">
        <v>67</v>
      </c>
      <c r="E313" t="s">
        <v>44</v>
      </c>
      <c r="F313" t="s">
        <v>20</v>
      </c>
      <c r="G313" t="s">
        <v>77</v>
      </c>
      <c r="H313" t="s">
        <v>50</v>
      </c>
      <c r="I313">
        <v>-1</v>
      </c>
      <c r="J313" s="3">
        <v>179500</v>
      </c>
      <c r="K313" s="3">
        <v>216600</v>
      </c>
      <c r="L313" s="3">
        <v>-216600</v>
      </c>
      <c r="M313" s="3">
        <v>-37100</v>
      </c>
      <c r="N313" t="s">
        <v>23</v>
      </c>
      <c r="O313" t="s">
        <v>60</v>
      </c>
      <c r="P313">
        <v>180</v>
      </c>
    </row>
    <row r="314" spans="1:16" hidden="1" x14ac:dyDescent="0.35">
      <c r="A314" t="s">
        <v>397</v>
      </c>
      <c r="B314" s="2">
        <v>46294</v>
      </c>
      <c r="C314" t="s">
        <v>33</v>
      </c>
      <c r="D314" t="s">
        <v>34</v>
      </c>
      <c r="E314" t="s">
        <v>19</v>
      </c>
      <c r="F314" t="s">
        <v>20</v>
      </c>
      <c r="G314" t="s">
        <v>77</v>
      </c>
      <c r="H314" t="s">
        <v>50</v>
      </c>
      <c r="I314">
        <v>1</v>
      </c>
      <c r="J314" s="3">
        <v>279100</v>
      </c>
      <c r="K314" s="3">
        <v>351700</v>
      </c>
      <c r="L314" s="3">
        <v>351700</v>
      </c>
      <c r="M314" s="3">
        <v>72600</v>
      </c>
      <c r="N314" t="s">
        <v>31</v>
      </c>
      <c r="O314" t="s">
        <v>24</v>
      </c>
      <c r="P314">
        <v>180</v>
      </c>
    </row>
    <row r="315" spans="1:16" hidden="1" x14ac:dyDescent="0.35">
      <c r="A315" t="s">
        <v>398</v>
      </c>
      <c r="B315" s="2">
        <v>46042</v>
      </c>
      <c r="C315" t="s">
        <v>111</v>
      </c>
      <c r="D315" t="s">
        <v>112</v>
      </c>
      <c r="E315" t="s">
        <v>19</v>
      </c>
      <c r="F315" t="s">
        <v>83</v>
      </c>
      <c r="G315" t="s">
        <v>77</v>
      </c>
      <c r="H315" t="s">
        <v>30</v>
      </c>
      <c r="I315">
        <v>2</v>
      </c>
      <c r="J315" s="3">
        <v>285000</v>
      </c>
      <c r="K315" s="3">
        <v>369000</v>
      </c>
      <c r="L315" s="3">
        <v>738000</v>
      </c>
      <c r="M315" s="3">
        <v>168000</v>
      </c>
      <c r="N315" t="s">
        <v>31</v>
      </c>
      <c r="O315" t="s">
        <v>24</v>
      </c>
      <c r="P315">
        <v>180</v>
      </c>
    </row>
    <row r="316" spans="1:16" x14ac:dyDescent="0.35">
      <c r="A316" t="s">
        <v>399</v>
      </c>
      <c r="B316" s="2">
        <v>46281</v>
      </c>
      <c r="C316" t="s">
        <v>73</v>
      </c>
      <c r="D316" t="s">
        <v>74</v>
      </c>
      <c r="E316" t="s">
        <v>75</v>
      </c>
      <c r="F316" t="s">
        <v>76</v>
      </c>
      <c r="G316" t="s">
        <v>21</v>
      </c>
      <c r="H316" t="s">
        <v>35</v>
      </c>
      <c r="I316">
        <v>2</v>
      </c>
      <c r="J316" s="3">
        <v>28200</v>
      </c>
      <c r="K316" s="3">
        <v>35600</v>
      </c>
      <c r="L316" s="3">
        <v>71200</v>
      </c>
      <c r="M316" s="3">
        <v>14800</v>
      </c>
      <c r="N316" t="s">
        <v>23</v>
      </c>
      <c r="O316" t="s">
        <v>24</v>
      </c>
      <c r="P316">
        <v>90</v>
      </c>
    </row>
    <row r="317" spans="1:16" hidden="1" x14ac:dyDescent="0.35">
      <c r="A317" t="s">
        <v>400</v>
      </c>
      <c r="B317" s="2">
        <v>46086</v>
      </c>
      <c r="C317" t="s">
        <v>87</v>
      </c>
      <c r="D317" t="s">
        <v>88</v>
      </c>
      <c r="E317" t="s">
        <v>75</v>
      </c>
      <c r="F317" t="s">
        <v>76</v>
      </c>
      <c r="G317" t="s">
        <v>29</v>
      </c>
      <c r="H317" t="s">
        <v>22</v>
      </c>
      <c r="I317">
        <v>1</v>
      </c>
      <c r="J317" s="3">
        <v>68000</v>
      </c>
      <c r="K317" s="3">
        <v>78400</v>
      </c>
      <c r="L317" s="3">
        <v>78400</v>
      </c>
      <c r="M317" s="3">
        <v>10400</v>
      </c>
      <c r="N317" t="s">
        <v>23</v>
      </c>
      <c r="O317" t="s">
        <v>24</v>
      </c>
      <c r="P317">
        <v>90</v>
      </c>
    </row>
    <row r="318" spans="1:16" hidden="1" x14ac:dyDescent="0.35">
      <c r="A318" t="s">
        <v>401</v>
      </c>
      <c r="B318" s="2">
        <v>46118</v>
      </c>
      <c r="C318" t="s">
        <v>33</v>
      </c>
      <c r="D318" t="s">
        <v>34</v>
      </c>
      <c r="E318" t="s">
        <v>19</v>
      </c>
      <c r="F318" t="s">
        <v>20</v>
      </c>
      <c r="G318" t="s">
        <v>39</v>
      </c>
      <c r="H318" t="s">
        <v>30</v>
      </c>
      <c r="I318">
        <v>1</v>
      </c>
      <c r="J318" s="3">
        <v>214200</v>
      </c>
      <c r="K318" s="3">
        <v>260100</v>
      </c>
      <c r="L318" s="3">
        <v>260100</v>
      </c>
      <c r="M318" s="3">
        <v>45900</v>
      </c>
      <c r="N318" t="s">
        <v>40</v>
      </c>
      <c r="O318" t="s">
        <v>24</v>
      </c>
      <c r="P318">
        <v>180</v>
      </c>
    </row>
    <row r="319" spans="1:16" hidden="1" x14ac:dyDescent="0.35">
      <c r="A319" t="s">
        <v>402</v>
      </c>
      <c r="B319" s="2">
        <v>46217</v>
      </c>
      <c r="C319" t="s">
        <v>57</v>
      </c>
      <c r="D319" t="s">
        <v>58</v>
      </c>
      <c r="E319" t="s">
        <v>49</v>
      </c>
      <c r="F319" t="s">
        <v>59</v>
      </c>
      <c r="G319" t="s">
        <v>39</v>
      </c>
      <c r="H319" t="s">
        <v>22</v>
      </c>
      <c r="I319">
        <v>1</v>
      </c>
      <c r="J319" s="3">
        <v>78700</v>
      </c>
      <c r="K319" s="3">
        <v>102600</v>
      </c>
      <c r="L319" s="3">
        <v>102600</v>
      </c>
      <c r="M319" s="3">
        <v>23900</v>
      </c>
      <c r="N319" t="s">
        <v>40</v>
      </c>
      <c r="O319" t="s">
        <v>24</v>
      </c>
      <c r="P319">
        <v>90</v>
      </c>
    </row>
    <row r="320" spans="1:16" x14ac:dyDescent="0.35">
      <c r="A320" t="s">
        <v>403</v>
      </c>
      <c r="B320" s="2">
        <v>46265</v>
      </c>
      <c r="C320" t="s">
        <v>66</v>
      </c>
      <c r="D320" t="s">
        <v>67</v>
      </c>
      <c r="E320" t="s">
        <v>44</v>
      </c>
      <c r="F320" t="s">
        <v>20</v>
      </c>
      <c r="G320" t="s">
        <v>77</v>
      </c>
      <c r="H320" t="s">
        <v>35</v>
      </c>
      <c r="I320">
        <v>4</v>
      </c>
      <c r="J320" s="3">
        <v>258500</v>
      </c>
      <c r="K320" s="3">
        <v>340300</v>
      </c>
      <c r="L320" s="3">
        <v>1361200</v>
      </c>
      <c r="M320" s="3">
        <v>327200</v>
      </c>
      <c r="N320" t="s">
        <v>31</v>
      </c>
      <c r="O320" t="s">
        <v>24</v>
      </c>
      <c r="P320">
        <v>180</v>
      </c>
    </row>
    <row r="321" spans="1:16" hidden="1" x14ac:dyDescent="0.35">
      <c r="A321" t="s">
        <v>404</v>
      </c>
      <c r="B321" s="2">
        <v>46182</v>
      </c>
      <c r="C321" t="s">
        <v>26</v>
      </c>
      <c r="D321" t="s">
        <v>27</v>
      </c>
      <c r="E321" t="s">
        <v>19</v>
      </c>
      <c r="F321" t="s">
        <v>28</v>
      </c>
      <c r="G321" t="s">
        <v>29</v>
      </c>
      <c r="H321" t="s">
        <v>30</v>
      </c>
      <c r="I321">
        <v>-1</v>
      </c>
      <c r="J321" s="3">
        <v>257400</v>
      </c>
      <c r="K321" s="3">
        <v>288700</v>
      </c>
      <c r="L321" s="3">
        <v>-288700</v>
      </c>
      <c r="M321" s="3">
        <v>-31300</v>
      </c>
      <c r="N321" t="s">
        <v>31</v>
      </c>
      <c r="O321" t="s">
        <v>60</v>
      </c>
      <c r="P321">
        <v>180</v>
      </c>
    </row>
  </sheetData>
  <autoFilter ref="A1:P321" xr:uid="{00000000-0009-0000-0000-000000000000}">
    <filterColumn colId="7">
      <filters>
        <filter val="Business Clien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7DB0-7188-49FF-A590-8F6DD151D100}">
  <sheetPr>
    <tabColor theme="5" tint="-0.249977111117893"/>
  </sheetPr>
  <dimension ref="A3:B8"/>
  <sheetViews>
    <sheetView workbookViewId="0">
      <selection activeCell="I6" sqref="I6"/>
    </sheetView>
  </sheetViews>
  <sheetFormatPr defaultRowHeight="14.5" x14ac:dyDescent="0.35"/>
  <cols>
    <col min="1" max="1" width="12.36328125" bestFit="1" customWidth="1"/>
    <col min="2" max="2" width="24.1796875" bestFit="1" customWidth="1"/>
  </cols>
  <sheetData>
    <row r="3" spans="1:2" x14ac:dyDescent="0.35">
      <c r="A3" s="5" t="s">
        <v>411</v>
      </c>
      <c r="B3" t="s">
        <v>413</v>
      </c>
    </row>
    <row r="4" spans="1:2" x14ac:dyDescent="0.35">
      <c r="A4" s="6" t="s">
        <v>40</v>
      </c>
      <c r="B4" s="3">
        <v>11997500</v>
      </c>
    </row>
    <row r="5" spans="1:2" x14ac:dyDescent="0.35">
      <c r="A5" s="6" t="s">
        <v>37</v>
      </c>
      <c r="B5" s="3">
        <v>10666800</v>
      </c>
    </row>
    <row r="6" spans="1:2" x14ac:dyDescent="0.35">
      <c r="A6" s="6" t="s">
        <v>23</v>
      </c>
      <c r="B6" s="3">
        <v>10993500</v>
      </c>
    </row>
    <row r="7" spans="1:2" x14ac:dyDescent="0.35">
      <c r="A7" s="6" t="s">
        <v>31</v>
      </c>
      <c r="B7" s="3">
        <v>11125800</v>
      </c>
    </row>
    <row r="8" spans="1:2" x14ac:dyDescent="0.35">
      <c r="A8" s="6" t="s">
        <v>412</v>
      </c>
      <c r="B8" s="3">
        <v>44783600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F15A-93E4-4C8B-BC04-CB7F8BF0EDC0}">
  <sheetPr filterMode="1">
    <tabColor theme="5" tint="-0.249977111117893"/>
  </sheetPr>
  <dimension ref="A1:P328"/>
  <sheetViews>
    <sheetView topLeftCell="F1" workbookViewId="0">
      <pane ySplit="1" topLeftCell="A304" activePane="bottomLeft" state="frozen"/>
      <selection activeCell="A18" sqref="A18"/>
      <selection pane="bottomLeft" activeCell="O325" sqref="O325"/>
    </sheetView>
  </sheetViews>
  <sheetFormatPr defaultRowHeight="14.5" x14ac:dyDescent="0.35"/>
  <cols>
    <col min="1" max="1" width="12" customWidth="1"/>
    <col min="2" max="2" width="13" customWidth="1"/>
    <col min="3" max="3" width="12" customWidth="1"/>
    <col min="4" max="4" width="28" customWidth="1"/>
    <col min="5" max="6" width="14" customWidth="1"/>
    <col min="7" max="7" width="20" customWidth="1"/>
    <col min="8" max="8" width="18" customWidth="1"/>
    <col min="9" max="9" width="10" customWidth="1"/>
    <col min="10" max="11" width="16" customWidth="1"/>
    <col min="12" max="12" width="18" customWidth="1"/>
    <col min="13" max="13" width="16" customWidth="1"/>
    <col min="14" max="14" width="17" customWidth="1"/>
    <col min="15" max="15" width="15" customWidth="1"/>
    <col min="16" max="16" width="14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t="s">
        <v>16</v>
      </c>
      <c r="B2" s="2">
        <v>46071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</v>
      </c>
      <c r="J2" s="3">
        <v>183500</v>
      </c>
      <c r="K2" s="3">
        <v>215600</v>
      </c>
      <c r="L2" s="3">
        <v>215600</v>
      </c>
      <c r="M2" s="3">
        <v>32100</v>
      </c>
      <c r="N2" t="s">
        <v>23</v>
      </c>
      <c r="O2" t="s">
        <v>24</v>
      </c>
      <c r="P2">
        <v>180</v>
      </c>
    </row>
    <row r="3" spans="1:16" hidden="1" x14ac:dyDescent="0.35">
      <c r="A3" t="s">
        <v>25</v>
      </c>
      <c r="B3" s="2">
        <v>46241</v>
      </c>
      <c r="C3" t="s">
        <v>26</v>
      </c>
      <c r="D3" t="s">
        <v>27</v>
      </c>
      <c r="E3" t="s">
        <v>19</v>
      </c>
      <c r="F3" t="s">
        <v>28</v>
      </c>
      <c r="G3" t="s">
        <v>29</v>
      </c>
      <c r="H3" t="s">
        <v>30</v>
      </c>
      <c r="I3">
        <v>1</v>
      </c>
      <c r="J3" s="3">
        <v>210600</v>
      </c>
      <c r="K3" s="3">
        <v>257200</v>
      </c>
      <c r="L3" s="3">
        <v>257200</v>
      </c>
      <c r="M3" s="3">
        <v>46600</v>
      </c>
      <c r="N3" t="s">
        <v>31</v>
      </c>
      <c r="O3" t="s">
        <v>24</v>
      </c>
      <c r="P3">
        <v>180</v>
      </c>
    </row>
    <row r="4" spans="1:16" hidden="1" x14ac:dyDescent="0.35">
      <c r="A4" t="s">
        <v>32</v>
      </c>
      <c r="B4" s="2">
        <v>46106</v>
      </c>
      <c r="C4" t="s">
        <v>33</v>
      </c>
      <c r="D4" t="s">
        <v>34</v>
      </c>
      <c r="E4" t="s">
        <v>19</v>
      </c>
      <c r="F4" t="s">
        <v>20</v>
      </c>
      <c r="G4" t="s">
        <v>29</v>
      </c>
      <c r="H4" t="s">
        <v>35</v>
      </c>
      <c r="I4">
        <v>1</v>
      </c>
      <c r="J4" s="3">
        <v>286200</v>
      </c>
      <c r="K4" s="3">
        <v>329700</v>
      </c>
      <c r="L4" s="3">
        <v>329700</v>
      </c>
      <c r="M4" s="3">
        <v>43500</v>
      </c>
      <c r="N4" t="s">
        <v>23</v>
      </c>
      <c r="O4" t="s">
        <v>24</v>
      </c>
      <c r="P4">
        <v>180</v>
      </c>
    </row>
    <row r="5" spans="1:16" hidden="1" x14ac:dyDescent="0.35">
      <c r="A5" t="s">
        <v>36</v>
      </c>
      <c r="B5" s="2">
        <v>46049</v>
      </c>
      <c r="C5" t="s">
        <v>26</v>
      </c>
      <c r="D5" t="s">
        <v>27</v>
      </c>
      <c r="E5" t="s">
        <v>19</v>
      </c>
      <c r="F5" t="s">
        <v>28</v>
      </c>
      <c r="G5" t="s">
        <v>21</v>
      </c>
      <c r="H5" t="s">
        <v>22</v>
      </c>
      <c r="I5">
        <v>1</v>
      </c>
      <c r="J5" s="3">
        <v>233200</v>
      </c>
      <c r="K5" s="3">
        <v>277900</v>
      </c>
      <c r="L5" s="3">
        <v>277900</v>
      </c>
      <c r="M5" s="3">
        <v>44700</v>
      </c>
      <c r="N5" t="s">
        <v>37</v>
      </c>
      <c r="O5" t="s">
        <v>24</v>
      </c>
      <c r="P5">
        <v>180</v>
      </c>
    </row>
    <row r="6" spans="1:16" x14ac:dyDescent="0.35">
      <c r="A6" t="s">
        <v>38</v>
      </c>
      <c r="B6" s="2">
        <v>46125</v>
      </c>
      <c r="C6" t="s">
        <v>26</v>
      </c>
      <c r="D6" t="s">
        <v>27</v>
      </c>
      <c r="E6" t="s">
        <v>19</v>
      </c>
      <c r="F6" t="s">
        <v>28</v>
      </c>
      <c r="G6" t="s">
        <v>39</v>
      </c>
      <c r="H6" t="s">
        <v>22</v>
      </c>
      <c r="I6">
        <v>2</v>
      </c>
      <c r="J6" s="3">
        <v>257300</v>
      </c>
      <c r="K6" s="3">
        <v>330900</v>
      </c>
      <c r="L6" s="3">
        <v>661800</v>
      </c>
      <c r="M6" s="3">
        <v>147200</v>
      </c>
      <c r="N6" t="s">
        <v>40</v>
      </c>
      <c r="O6" t="s">
        <v>24</v>
      </c>
      <c r="P6">
        <v>180</v>
      </c>
    </row>
    <row r="7" spans="1:16" x14ac:dyDescent="0.35">
      <c r="A7" t="s">
        <v>41</v>
      </c>
      <c r="B7" s="2">
        <v>46169</v>
      </c>
      <c r="C7" t="s">
        <v>42</v>
      </c>
      <c r="D7" t="s">
        <v>43</v>
      </c>
      <c r="E7" t="s">
        <v>44</v>
      </c>
      <c r="F7" t="s">
        <v>28</v>
      </c>
      <c r="G7" t="s">
        <v>21</v>
      </c>
      <c r="H7" t="s">
        <v>35</v>
      </c>
      <c r="I7">
        <v>3</v>
      </c>
      <c r="J7" s="3">
        <v>278400</v>
      </c>
      <c r="K7" s="3">
        <v>359400</v>
      </c>
      <c r="L7" s="3">
        <v>1078200</v>
      </c>
      <c r="M7" s="3">
        <v>243000</v>
      </c>
      <c r="N7" t="s">
        <v>40</v>
      </c>
      <c r="O7" t="s">
        <v>45</v>
      </c>
      <c r="P7">
        <v>180</v>
      </c>
    </row>
    <row r="8" spans="1:16" hidden="1" x14ac:dyDescent="0.35">
      <c r="A8" t="s">
        <v>46</v>
      </c>
      <c r="B8" s="2">
        <v>46114</v>
      </c>
      <c r="C8" t="s">
        <v>47</v>
      </c>
      <c r="D8" t="s">
        <v>48</v>
      </c>
      <c r="E8" t="s">
        <v>49</v>
      </c>
      <c r="F8" t="s">
        <v>20</v>
      </c>
      <c r="G8" t="s">
        <v>29</v>
      </c>
      <c r="H8" t="s">
        <v>50</v>
      </c>
      <c r="I8">
        <v>2</v>
      </c>
      <c r="J8" s="3">
        <v>84500</v>
      </c>
      <c r="K8" s="3">
        <v>106000</v>
      </c>
      <c r="L8" s="3">
        <v>212000</v>
      </c>
      <c r="M8" s="3">
        <v>43000</v>
      </c>
      <c r="N8" t="s">
        <v>37</v>
      </c>
      <c r="O8" t="s">
        <v>24</v>
      </c>
      <c r="P8">
        <v>90</v>
      </c>
    </row>
    <row r="9" spans="1:16" hidden="1" x14ac:dyDescent="0.35">
      <c r="A9" t="s">
        <v>51</v>
      </c>
      <c r="B9" s="2">
        <v>46193</v>
      </c>
      <c r="C9" t="s">
        <v>52</v>
      </c>
      <c r="D9" t="s">
        <v>53</v>
      </c>
      <c r="E9" t="s">
        <v>54</v>
      </c>
      <c r="F9" t="s">
        <v>55</v>
      </c>
      <c r="G9" t="s">
        <v>39</v>
      </c>
      <c r="H9" t="s">
        <v>50</v>
      </c>
      <c r="I9">
        <v>2</v>
      </c>
      <c r="J9" s="3">
        <v>14600</v>
      </c>
      <c r="K9" s="3">
        <v>19100</v>
      </c>
      <c r="L9" s="3">
        <v>38200</v>
      </c>
      <c r="M9" s="3">
        <v>9000</v>
      </c>
      <c r="N9" t="s">
        <v>23</v>
      </c>
      <c r="O9" t="s">
        <v>24</v>
      </c>
      <c r="P9">
        <v>30</v>
      </c>
    </row>
    <row r="10" spans="1:16" hidden="1" x14ac:dyDescent="0.35">
      <c r="A10" t="s">
        <v>56</v>
      </c>
      <c r="B10" s="2">
        <v>46188</v>
      </c>
      <c r="C10" t="s">
        <v>57</v>
      </c>
      <c r="D10" t="s">
        <v>58</v>
      </c>
      <c r="E10" t="s">
        <v>49</v>
      </c>
      <c r="F10" t="s">
        <v>59</v>
      </c>
      <c r="G10" t="s">
        <v>29</v>
      </c>
      <c r="H10" t="s">
        <v>30</v>
      </c>
      <c r="I10">
        <v>-3</v>
      </c>
      <c r="J10" s="3">
        <v>87100</v>
      </c>
      <c r="K10" s="3">
        <v>98700</v>
      </c>
      <c r="L10" s="3">
        <v>-296100</v>
      </c>
      <c r="M10" s="3">
        <v>-34800</v>
      </c>
      <c r="N10" t="s">
        <v>37</v>
      </c>
      <c r="O10" t="s">
        <v>60</v>
      </c>
      <c r="P10">
        <v>90</v>
      </c>
    </row>
    <row r="11" spans="1:16" hidden="1" x14ac:dyDescent="0.35">
      <c r="A11" t="s">
        <v>61</v>
      </c>
      <c r="B11" s="2">
        <v>46161</v>
      </c>
      <c r="C11" t="s">
        <v>62</v>
      </c>
      <c r="D11" t="s">
        <v>63</v>
      </c>
      <c r="E11" t="s">
        <v>54</v>
      </c>
      <c r="F11" t="s">
        <v>64</v>
      </c>
      <c r="G11" t="s">
        <v>21</v>
      </c>
      <c r="H11" t="s">
        <v>30</v>
      </c>
      <c r="I11">
        <v>-2</v>
      </c>
      <c r="J11" s="3">
        <v>11000</v>
      </c>
      <c r="K11" s="3">
        <v>12600</v>
      </c>
      <c r="L11" s="3">
        <v>-25200</v>
      </c>
      <c r="M11" s="3">
        <v>-3200</v>
      </c>
      <c r="N11" t="s">
        <v>31</v>
      </c>
      <c r="O11" t="s">
        <v>60</v>
      </c>
      <c r="P11">
        <v>30</v>
      </c>
    </row>
    <row r="12" spans="1:16" hidden="1" x14ac:dyDescent="0.35">
      <c r="A12" t="s">
        <v>65</v>
      </c>
      <c r="B12" s="2">
        <v>46083</v>
      </c>
      <c r="C12" t="s">
        <v>66</v>
      </c>
      <c r="D12" t="s">
        <v>67</v>
      </c>
      <c r="E12" t="s">
        <v>44</v>
      </c>
      <c r="F12" t="s">
        <v>20</v>
      </c>
      <c r="G12" t="s">
        <v>29</v>
      </c>
      <c r="H12" t="s">
        <v>50</v>
      </c>
      <c r="I12">
        <v>1</v>
      </c>
      <c r="J12" s="3">
        <v>279700</v>
      </c>
      <c r="K12" s="3">
        <v>321000</v>
      </c>
      <c r="L12" s="3">
        <v>321000</v>
      </c>
      <c r="M12" s="3">
        <v>41300</v>
      </c>
      <c r="N12" t="s">
        <v>37</v>
      </c>
      <c r="O12" t="s">
        <v>24</v>
      </c>
      <c r="P12">
        <v>180</v>
      </c>
    </row>
    <row r="13" spans="1:16" hidden="1" x14ac:dyDescent="0.35">
      <c r="A13" t="s">
        <v>68</v>
      </c>
      <c r="B13" s="2">
        <v>46155</v>
      </c>
      <c r="C13" t="s">
        <v>69</v>
      </c>
      <c r="D13" t="s">
        <v>70</v>
      </c>
      <c r="E13" t="s">
        <v>54</v>
      </c>
      <c r="F13" t="s">
        <v>64</v>
      </c>
      <c r="G13" t="s">
        <v>39</v>
      </c>
      <c r="H13" t="s">
        <v>22</v>
      </c>
      <c r="I13">
        <v>-5</v>
      </c>
      <c r="J13" s="3">
        <v>8800</v>
      </c>
      <c r="K13" s="3">
        <v>10500</v>
      </c>
      <c r="L13" s="3">
        <v>-52500</v>
      </c>
      <c r="M13" s="3">
        <v>-8500</v>
      </c>
      <c r="N13" t="s">
        <v>31</v>
      </c>
      <c r="O13" t="s">
        <v>60</v>
      </c>
      <c r="P13">
        <v>30</v>
      </c>
    </row>
    <row r="14" spans="1:16" hidden="1" x14ac:dyDescent="0.35">
      <c r="A14" t="s">
        <v>71</v>
      </c>
      <c r="B14" s="2">
        <v>46283</v>
      </c>
      <c r="C14" t="s">
        <v>57</v>
      </c>
      <c r="D14" t="s">
        <v>58</v>
      </c>
      <c r="E14" t="s">
        <v>49</v>
      </c>
      <c r="F14" t="s">
        <v>59</v>
      </c>
      <c r="G14" t="s">
        <v>29</v>
      </c>
      <c r="H14" t="s">
        <v>22</v>
      </c>
      <c r="I14">
        <v>1</v>
      </c>
      <c r="J14" s="3">
        <v>71100</v>
      </c>
      <c r="K14" s="3">
        <v>85800</v>
      </c>
      <c r="L14" s="3">
        <v>85800</v>
      </c>
      <c r="M14" s="3">
        <v>14700</v>
      </c>
      <c r="N14" t="s">
        <v>31</v>
      </c>
      <c r="O14" t="s">
        <v>24</v>
      </c>
      <c r="P14">
        <v>90</v>
      </c>
    </row>
    <row r="15" spans="1:16" hidden="1" x14ac:dyDescent="0.35">
      <c r="A15" t="s">
        <v>72</v>
      </c>
      <c r="B15" s="2">
        <v>46027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30</v>
      </c>
      <c r="I15">
        <v>-2</v>
      </c>
      <c r="J15" s="3">
        <v>55400</v>
      </c>
      <c r="K15" s="3">
        <v>63700</v>
      </c>
      <c r="L15" s="3">
        <v>-127400</v>
      </c>
      <c r="M15" s="3">
        <v>-16600</v>
      </c>
      <c r="N15" t="s">
        <v>23</v>
      </c>
      <c r="O15" t="s">
        <v>60</v>
      </c>
      <c r="P15">
        <v>90</v>
      </c>
    </row>
    <row r="16" spans="1:16" hidden="1" x14ac:dyDescent="0.35">
      <c r="A16" t="s">
        <v>78</v>
      </c>
      <c r="B16" s="2">
        <v>46149</v>
      </c>
      <c r="C16" t="s">
        <v>17</v>
      </c>
      <c r="D16" t="s">
        <v>18</v>
      </c>
      <c r="E16" t="s">
        <v>19</v>
      </c>
      <c r="F16" t="s">
        <v>20</v>
      </c>
      <c r="G16" t="s">
        <v>39</v>
      </c>
      <c r="H16" t="s">
        <v>50</v>
      </c>
      <c r="I16">
        <v>3</v>
      </c>
      <c r="J16" s="3">
        <v>310100</v>
      </c>
      <c r="K16" s="3">
        <v>401800</v>
      </c>
      <c r="L16" s="3">
        <v>1205400</v>
      </c>
      <c r="M16" s="3">
        <v>275100</v>
      </c>
      <c r="N16" t="s">
        <v>23</v>
      </c>
      <c r="O16" t="s">
        <v>24</v>
      </c>
      <c r="P16">
        <v>180</v>
      </c>
    </row>
    <row r="17" spans="1:16" x14ac:dyDescent="0.35">
      <c r="A17" t="s">
        <v>79</v>
      </c>
      <c r="B17" s="2">
        <v>46091</v>
      </c>
      <c r="C17" t="s">
        <v>26</v>
      </c>
      <c r="D17" t="s">
        <v>27</v>
      </c>
      <c r="E17" t="s">
        <v>19</v>
      </c>
      <c r="F17" t="s">
        <v>28</v>
      </c>
      <c r="G17" t="s">
        <v>29</v>
      </c>
      <c r="H17" t="s">
        <v>30</v>
      </c>
      <c r="I17">
        <v>-4</v>
      </c>
      <c r="J17" s="3">
        <v>282500</v>
      </c>
      <c r="K17" s="3">
        <v>362500</v>
      </c>
      <c r="L17" s="3">
        <v>-1450000</v>
      </c>
      <c r="M17" s="3">
        <v>-320000</v>
      </c>
      <c r="N17" t="s">
        <v>40</v>
      </c>
      <c r="O17" t="s">
        <v>60</v>
      </c>
      <c r="P17">
        <v>180</v>
      </c>
    </row>
    <row r="18" spans="1:16" hidden="1" x14ac:dyDescent="0.35">
      <c r="A18" t="s">
        <v>80</v>
      </c>
      <c r="B18" s="2">
        <v>46129</v>
      </c>
      <c r="C18" t="s">
        <v>81</v>
      </c>
      <c r="D18" t="s">
        <v>82</v>
      </c>
      <c r="E18" t="s">
        <v>44</v>
      </c>
      <c r="F18" t="s">
        <v>83</v>
      </c>
      <c r="G18" t="s">
        <v>77</v>
      </c>
      <c r="H18" t="s">
        <v>30</v>
      </c>
      <c r="I18">
        <v>-4</v>
      </c>
      <c r="J18" s="3">
        <v>228000</v>
      </c>
      <c r="K18" s="3">
        <v>283000</v>
      </c>
      <c r="L18" s="3">
        <v>-1132000</v>
      </c>
      <c r="M18" s="3">
        <v>-220000</v>
      </c>
      <c r="N18" t="s">
        <v>31</v>
      </c>
      <c r="O18" t="s">
        <v>60</v>
      </c>
      <c r="P18">
        <v>180</v>
      </c>
    </row>
    <row r="19" spans="1:16" x14ac:dyDescent="0.35">
      <c r="A19" t="s">
        <v>84</v>
      </c>
      <c r="B19" s="2">
        <v>46200</v>
      </c>
      <c r="C19" t="s">
        <v>62</v>
      </c>
      <c r="D19" t="s">
        <v>63</v>
      </c>
      <c r="E19" t="s">
        <v>54</v>
      </c>
      <c r="F19" t="s">
        <v>64</v>
      </c>
      <c r="G19" t="s">
        <v>39</v>
      </c>
      <c r="H19" t="s">
        <v>50</v>
      </c>
      <c r="I19">
        <v>1</v>
      </c>
      <c r="J19" s="3">
        <v>32200</v>
      </c>
      <c r="K19" s="3">
        <v>39000</v>
      </c>
      <c r="L19" s="3">
        <v>39000</v>
      </c>
      <c r="M19" s="3">
        <v>6800</v>
      </c>
      <c r="N19" t="s">
        <v>40</v>
      </c>
      <c r="O19" t="s">
        <v>24</v>
      </c>
      <c r="P19">
        <v>30</v>
      </c>
    </row>
    <row r="20" spans="1:16" hidden="1" x14ac:dyDescent="0.35">
      <c r="A20" t="s">
        <v>85</v>
      </c>
      <c r="B20" s="2">
        <v>46196</v>
      </c>
      <c r="C20" t="s">
        <v>33</v>
      </c>
      <c r="D20" t="s">
        <v>34</v>
      </c>
      <c r="E20" t="s">
        <v>19</v>
      </c>
      <c r="F20" t="s">
        <v>20</v>
      </c>
      <c r="G20" t="s">
        <v>39</v>
      </c>
      <c r="H20" t="s">
        <v>50</v>
      </c>
      <c r="I20">
        <v>1</v>
      </c>
      <c r="J20" s="3">
        <v>189900</v>
      </c>
      <c r="K20" s="3">
        <v>236700</v>
      </c>
      <c r="L20" s="3">
        <v>236700</v>
      </c>
      <c r="M20" s="3">
        <v>46800</v>
      </c>
      <c r="N20" t="s">
        <v>31</v>
      </c>
      <c r="O20" t="s">
        <v>24</v>
      </c>
      <c r="P20">
        <v>180</v>
      </c>
    </row>
    <row r="21" spans="1:16" hidden="1" x14ac:dyDescent="0.35">
      <c r="A21" t="s">
        <v>86</v>
      </c>
      <c r="B21" s="2">
        <v>46269</v>
      </c>
      <c r="C21" t="s">
        <v>87</v>
      </c>
      <c r="D21" t="s">
        <v>88</v>
      </c>
      <c r="E21" t="s">
        <v>75</v>
      </c>
      <c r="F21" t="s">
        <v>76</v>
      </c>
      <c r="G21" t="s">
        <v>29</v>
      </c>
      <c r="H21" t="s">
        <v>30</v>
      </c>
      <c r="I21">
        <v>-4</v>
      </c>
      <c r="J21" s="3">
        <v>35700</v>
      </c>
      <c r="K21" s="3">
        <v>40900</v>
      </c>
      <c r="L21" s="3">
        <v>-163600</v>
      </c>
      <c r="M21" s="3">
        <v>-20800</v>
      </c>
      <c r="N21" t="s">
        <v>37</v>
      </c>
      <c r="O21" t="s">
        <v>60</v>
      </c>
      <c r="P21">
        <v>90</v>
      </c>
    </row>
    <row r="22" spans="1:16" hidden="1" x14ac:dyDescent="0.35">
      <c r="A22" t="s">
        <v>89</v>
      </c>
      <c r="B22" s="2">
        <v>46266</v>
      </c>
      <c r="C22" t="s">
        <v>90</v>
      </c>
      <c r="D22" t="s">
        <v>91</v>
      </c>
      <c r="E22" t="s">
        <v>19</v>
      </c>
      <c r="F22" t="s">
        <v>92</v>
      </c>
      <c r="G22" t="s">
        <v>39</v>
      </c>
      <c r="H22" t="s">
        <v>22</v>
      </c>
      <c r="I22">
        <v>1</v>
      </c>
      <c r="J22" s="3">
        <v>193200</v>
      </c>
      <c r="K22" s="3">
        <v>241800</v>
      </c>
      <c r="L22" s="3">
        <v>241800</v>
      </c>
      <c r="M22" s="3">
        <v>48600</v>
      </c>
      <c r="N22" t="s">
        <v>23</v>
      </c>
      <c r="O22" t="s">
        <v>45</v>
      </c>
      <c r="P22">
        <v>180</v>
      </c>
    </row>
    <row r="23" spans="1:16" hidden="1" x14ac:dyDescent="0.35">
      <c r="A23" t="s">
        <v>93</v>
      </c>
      <c r="B23" s="2">
        <v>46124</v>
      </c>
      <c r="C23" t="s">
        <v>52</v>
      </c>
      <c r="D23" t="s">
        <v>53</v>
      </c>
      <c r="E23" t="s">
        <v>54</v>
      </c>
      <c r="F23" t="s">
        <v>55</v>
      </c>
      <c r="G23" t="s">
        <v>21</v>
      </c>
      <c r="H23" t="s">
        <v>50</v>
      </c>
      <c r="I23">
        <v>1</v>
      </c>
      <c r="J23" s="3">
        <v>27400</v>
      </c>
      <c r="K23" s="3">
        <v>35100</v>
      </c>
      <c r="L23" s="3">
        <v>35100</v>
      </c>
      <c r="M23" s="3">
        <v>7700</v>
      </c>
      <c r="N23" t="s">
        <v>37</v>
      </c>
      <c r="O23" t="s">
        <v>24</v>
      </c>
      <c r="P23">
        <v>30</v>
      </c>
    </row>
    <row r="24" spans="1:16" hidden="1" x14ac:dyDescent="0.35">
      <c r="A24" t="s">
        <v>94</v>
      </c>
      <c r="B24" s="2">
        <v>46077</v>
      </c>
      <c r="C24" t="s">
        <v>95</v>
      </c>
      <c r="D24" t="s">
        <v>96</v>
      </c>
      <c r="E24" t="s">
        <v>19</v>
      </c>
      <c r="F24" t="s">
        <v>28</v>
      </c>
      <c r="G24" t="s">
        <v>39</v>
      </c>
      <c r="H24" t="s">
        <v>22</v>
      </c>
      <c r="I24">
        <v>4</v>
      </c>
      <c r="J24" s="3">
        <v>219000</v>
      </c>
      <c r="K24" s="3">
        <v>256200</v>
      </c>
      <c r="L24" s="3">
        <v>1024800</v>
      </c>
      <c r="M24" s="3">
        <v>148800</v>
      </c>
      <c r="N24" t="s">
        <v>23</v>
      </c>
      <c r="O24" t="s">
        <v>45</v>
      </c>
      <c r="P24">
        <v>180</v>
      </c>
    </row>
    <row r="25" spans="1:16" hidden="1" x14ac:dyDescent="0.35">
      <c r="A25" t="s">
        <v>97</v>
      </c>
      <c r="B25" s="2">
        <v>46057</v>
      </c>
      <c r="C25" t="s">
        <v>66</v>
      </c>
      <c r="D25" t="s">
        <v>67</v>
      </c>
      <c r="E25" t="s">
        <v>44</v>
      </c>
      <c r="F25" t="s">
        <v>20</v>
      </c>
      <c r="G25" t="s">
        <v>29</v>
      </c>
      <c r="H25" t="s">
        <v>30</v>
      </c>
      <c r="I25">
        <v>1</v>
      </c>
      <c r="J25" s="3">
        <v>188300</v>
      </c>
      <c r="K25" s="3">
        <v>229200</v>
      </c>
      <c r="L25" s="3">
        <v>229200</v>
      </c>
      <c r="M25" s="3">
        <v>40900</v>
      </c>
      <c r="N25" t="s">
        <v>23</v>
      </c>
      <c r="O25" t="s">
        <v>45</v>
      </c>
      <c r="P25">
        <v>180</v>
      </c>
    </row>
    <row r="26" spans="1:16" hidden="1" x14ac:dyDescent="0.35">
      <c r="A26" t="s">
        <v>98</v>
      </c>
      <c r="B26" s="2">
        <v>46276</v>
      </c>
      <c r="C26" t="s">
        <v>52</v>
      </c>
      <c r="D26" t="s">
        <v>53</v>
      </c>
      <c r="E26" t="s">
        <v>54</v>
      </c>
      <c r="F26" t="s">
        <v>55</v>
      </c>
      <c r="G26" t="s">
        <v>29</v>
      </c>
      <c r="H26" t="s">
        <v>50</v>
      </c>
      <c r="I26">
        <v>1</v>
      </c>
      <c r="J26" s="3">
        <v>14400</v>
      </c>
      <c r="K26" s="3">
        <v>18400</v>
      </c>
      <c r="L26" s="3">
        <v>18400</v>
      </c>
      <c r="M26" s="3">
        <v>4000</v>
      </c>
      <c r="N26" t="s">
        <v>31</v>
      </c>
      <c r="O26" t="s">
        <v>45</v>
      </c>
      <c r="P26">
        <v>30</v>
      </c>
    </row>
    <row r="27" spans="1:16" x14ac:dyDescent="0.35">
      <c r="A27" t="s">
        <v>99</v>
      </c>
      <c r="B27" s="2">
        <v>46056</v>
      </c>
      <c r="C27" t="s">
        <v>90</v>
      </c>
      <c r="D27" t="s">
        <v>91</v>
      </c>
      <c r="E27" t="s">
        <v>19</v>
      </c>
      <c r="F27" t="s">
        <v>92</v>
      </c>
      <c r="G27" t="s">
        <v>39</v>
      </c>
      <c r="H27" t="s">
        <v>30</v>
      </c>
      <c r="I27">
        <v>1</v>
      </c>
      <c r="J27" s="3">
        <v>315600</v>
      </c>
      <c r="K27" s="3">
        <v>390000</v>
      </c>
      <c r="L27" s="3">
        <v>390000</v>
      </c>
      <c r="M27" s="3">
        <v>74400</v>
      </c>
      <c r="N27" t="s">
        <v>40</v>
      </c>
      <c r="O27" t="s">
        <v>24</v>
      </c>
      <c r="P27">
        <v>180</v>
      </c>
    </row>
    <row r="28" spans="1:16" hidden="1" x14ac:dyDescent="0.35">
      <c r="A28" t="s">
        <v>100</v>
      </c>
      <c r="B28" s="2">
        <v>46061</v>
      </c>
      <c r="C28" t="s">
        <v>101</v>
      </c>
      <c r="D28" t="s">
        <v>102</v>
      </c>
      <c r="E28" t="s">
        <v>19</v>
      </c>
      <c r="F28" t="s">
        <v>83</v>
      </c>
      <c r="G28" t="s">
        <v>29</v>
      </c>
      <c r="H28" t="s">
        <v>30</v>
      </c>
      <c r="I28">
        <v>-1</v>
      </c>
      <c r="J28" s="3">
        <v>314500</v>
      </c>
      <c r="K28" s="3">
        <v>357300</v>
      </c>
      <c r="L28" s="3">
        <v>-357300</v>
      </c>
      <c r="M28" s="3">
        <v>-42800</v>
      </c>
      <c r="N28" t="s">
        <v>23</v>
      </c>
      <c r="O28" t="s">
        <v>60</v>
      </c>
      <c r="P28">
        <v>180</v>
      </c>
    </row>
    <row r="29" spans="1:16" x14ac:dyDescent="0.35">
      <c r="A29" t="s">
        <v>103</v>
      </c>
      <c r="B29" s="2">
        <v>46294</v>
      </c>
      <c r="C29" t="s">
        <v>104</v>
      </c>
      <c r="D29" t="s">
        <v>105</v>
      </c>
      <c r="E29" t="s">
        <v>106</v>
      </c>
      <c r="F29" t="s">
        <v>76</v>
      </c>
      <c r="G29" t="s">
        <v>77</v>
      </c>
      <c r="H29" t="s">
        <v>35</v>
      </c>
      <c r="I29">
        <v>2</v>
      </c>
      <c r="J29" s="3">
        <v>27100</v>
      </c>
      <c r="K29" s="3">
        <v>33600</v>
      </c>
      <c r="L29" s="3">
        <v>67200</v>
      </c>
      <c r="M29" s="3">
        <v>13000</v>
      </c>
      <c r="N29" t="s">
        <v>40</v>
      </c>
      <c r="O29" t="s">
        <v>45</v>
      </c>
      <c r="P29">
        <v>90</v>
      </c>
    </row>
    <row r="30" spans="1:16" hidden="1" x14ac:dyDescent="0.35">
      <c r="A30" t="s">
        <v>107</v>
      </c>
      <c r="B30" s="2">
        <v>46261</v>
      </c>
      <c r="C30" t="s">
        <v>57</v>
      </c>
      <c r="D30" t="s">
        <v>58</v>
      </c>
      <c r="E30" t="s">
        <v>49</v>
      </c>
      <c r="F30" t="s">
        <v>59</v>
      </c>
      <c r="G30" t="s">
        <v>77</v>
      </c>
      <c r="H30" t="s">
        <v>22</v>
      </c>
      <c r="I30">
        <v>2</v>
      </c>
      <c r="J30" s="3">
        <v>78100</v>
      </c>
      <c r="K30" s="3">
        <v>93700</v>
      </c>
      <c r="L30" s="3">
        <v>187400</v>
      </c>
      <c r="M30" s="3">
        <v>31200</v>
      </c>
      <c r="N30" t="s">
        <v>23</v>
      </c>
      <c r="O30" t="s">
        <v>24</v>
      </c>
      <c r="P30">
        <v>90</v>
      </c>
    </row>
    <row r="31" spans="1:16" hidden="1" x14ac:dyDescent="0.35">
      <c r="A31" t="s">
        <v>108</v>
      </c>
      <c r="B31" s="2">
        <v>46136</v>
      </c>
      <c r="C31" t="s">
        <v>62</v>
      </c>
      <c r="D31" t="s">
        <v>63</v>
      </c>
      <c r="E31" t="s">
        <v>54</v>
      </c>
      <c r="F31" t="s">
        <v>64</v>
      </c>
      <c r="G31" t="s">
        <v>77</v>
      </c>
      <c r="H31" t="s">
        <v>50</v>
      </c>
      <c r="I31">
        <v>-1</v>
      </c>
      <c r="J31" s="3">
        <v>24400</v>
      </c>
      <c r="K31" s="3">
        <v>30100</v>
      </c>
      <c r="L31" s="3">
        <v>-30100</v>
      </c>
      <c r="M31" s="3">
        <v>-5700</v>
      </c>
      <c r="N31" t="s">
        <v>31</v>
      </c>
      <c r="O31" t="s">
        <v>60</v>
      </c>
      <c r="P31">
        <v>30</v>
      </c>
    </row>
    <row r="32" spans="1:16" hidden="1" x14ac:dyDescent="0.35">
      <c r="A32" t="s">
        <v>109</v>
      </c>
      <c r="B32" s="2">
        <v>46181</v>
      </c>
      <c r="C32" t="s">
        <v>26</v>
      </c>
      <c r="D32" t="s">
        <v>27</v>
      </c>
      <c r="E32" t="s">
        <v>19</v>
      </c>
      <c r="F32" t="s">
        <v>28</v>
      </c>
      <c r="G32" t="s">
        <v>39</v>
      </c>
      <c r="H32" t="s">
        <v>35</v>
      </c>
      <c r="I32">
        <v>-1</v>
      </c>
      <c r="J32" s="3">
        <v>303100</v>
      </c>
      <c r="K32" s="3">
        <v>361900</v>
      </c>
      <c r="L32" s="3">
        <v>-361900</v>
      </c>
      <c r="M32" s="3">
        <v>-58800</v>
      </c>
      <c r="N32" t="s">
        <v>23</v>
      </c>
      <c r="O32" t="s">
        <v>60</v>
      </c>
      <c r="P32">
        <v>180</v>
      </c>
    </row>
    <row r="33" spans="1:16" hidden="1" x14ac:dyDescent="0.35">
      <c r="A33" t="s">
        <v>110</v>
      </c>
      <c r="B33" s="2">
        <v>46166</v>
      </c>
      <c r="C33" t="s">
        <v>111</v>
      </c>
      <c r="D33" t="s">
        <v>112</v>
      </c>
      <c r="E33" t="s">
        <v>19</v>
      </c>
      <c r="F33" t="s">
        <v>83</v>
      </c>
      <c r="G33" t="s">
        <v>77</v>
      </c>
      <c r="H33" t="s">
        <v>50</v>
      </c>
      <c r="I33">
        <v>2</v>
      </c>
      <c r="J33" s="3">
        <v>217000</v>
      </c>
      <c r="K33" s="3">
        <v>281700</v>
      </c>
      <c r="L33" s="3">
        <v>563400</v>
      </c>
      <c r="M33" s="3">
        <v>129400</v>
      </c>
      <c r="N33" t="s">
        <v>31</v>
      </c>
      <c r="O33" t="s">
        <v>24</v>
      </c>
      <c r="P33">
        <v>180</v>
      </c>
    </row>
    <row r="34" spans="1:16" hidden="1" x14ac:dyDescent="0.35">
      <c r="A34" t="s">
        <v>113</v>
      </c>
      <c r="B34" s="2">
        <v>46053</v>
      </c>
      <c r="C34" t="s">
        <v>90</v>
      </c>
      <c r="D34" t="s">
        <v>91</v>
      </c>
      <c r="E34" t="s">
        <v>19</v>
      </c>
      <c r="F34" t="s">
        <v>92</v>
      </c>
      <c r="G34" t="s">
        <v>39</v>
      </c>
      <c r="H34" t="s">
        <v>30</v>
      </c>
      <c r="I34">
        <v>1</v>
      </c>
      <c r="J34" s="3">
        <v>276200</v>
      </c>
      <c r="K34" s="3">
        <v>356500</v>
      </c>
      <c r="L34" s="3">
        <v>356500</v>
      </c>
      <c r="M34" s="3">
        <v>80300</v>
      </c>
      <c r="N34" t="s">
        <v>31</v>
      </c>
      <c r="O34" t="s">
        <v>24</v>
      </c>
      <c r="P34">
        <v>180</v>
      </c>
    </row>
    <row r="35" spans="1:16" hidden="1" x14ac:dyDescent="0.35">
      <c r="A35" t="s">
        <v>114</v>
      </c>
      <c r="B35" s="2">
        <v>46109</v>
      </c>
      <c r="C35" t="s">
        <v>101</v>
      </c>
      <c r="D35" t="s">
        <v>102</v>
      </c>
      <c r="E35" t="s">
        <v>19</v>
      </c>
      <c r="F35" t="s">
        <v>83</v>
      </c>
      <c r="G35" t="s">
        <v>21</v>
      </c>
      <c r="H35" t="s">
        <v>30</v>
      </c>
      <c r="I35">
        <v>2</v>
      </c>
      <c r="J35" s="3">
        <v>180500</v>
      </c>
      <c r="K35" s="3">
        <v>230000</v>
      </c>
      <c r="L35" s="3">
        <v>460000</v>
      </c>
      <c r="M35" s="3">
        <v>99000</v>
      </c>
      <c r="N35" t="s">
        <v>23</v>
      </c>
      <c r="O35" t="s">
        <v>24</v>
      </c>
      <c r="P35">
        <v>180</v>
      </c>
    </row>
    <row r="36" spans="1:16" hidden="1" x14ac:dyDescent="0.35">
      <c r="A36" t="s">
        <v>115</v>
      </c>
      <c r="B36" s="2">
        <v>46045</v>
      </c>
      <c r="C36" t="s">
        <v>17</v>
      </c>
      <c r="D36" t="s">
        <v>18</v>
      </c>
      <c r="E36" t="s">
        <v>19</v>
      </c>
      <c r="F36" t="s">
        <v>20</v>
      </c>
      <c r="G36" t="s">
        <v>77</v>
      </c>
      <c r="H36" t="s">
        <v>50</v>
      </c>
      <c r="I36">
        <v>-3</v>
      </c>
      <c r="J36" s="3">
        <v>190500</v>
      </c>
      <c r="K36" s="3">
        <v>247000</v>
      </c>
      <c r="L36" s="3">
        <v>-741000</v>
      </c>
      <c r="M36" s="3">
        <v>-169500</v>
      </c>
      <c r="N36" t="s">
        <v>37</v>
      </c>
      <c r="O36" t="s">
        <v>60</v>
      </c>
      <c r="P36">
        <v>180</v>
      </c>
    </row>
    <row r="37" spans="1:16" hidden="1" x14ac:dyDescent="0.35">
      <c r="A37" t="s">
        <v>116</v>
      </c>
      <c r="B37" s="2">
        <v>46210</v>
      </c>
      <c r="C37" t="s">
        <v>111</v>
      </c>
      <c r="D37" t="s">
        <v>112</v>
      </c>
      <c r="E37" t="s">
        <v>19</v>
      </c>
      <c r="F37" t="s">
        <v>83</v>
      </c>
      <c r="G37" t="s">
        <v>29</v>
      </c>
      <c r="H37" t="s">
        <v>50</v>
      </c>
      <c r="I37">
        <v>4</v>
      </c>
      <c r="J37" s="3">
        <v>185900</v>
      </c>
      <c r="K37" s="3">
        <v>221800</v>
      </c>
      <c r="L37" s="3">
        <v>887200</v>
      </c>
      <c r="M37" s="3">
        <v>143600</v>
      </c>
      <c r="N37" t="s">
        <v>23</v>
      </c>
      <c r="O37" t="s">
        <v>24</v>
      </c>
      <c r="P37">
        <v>180</v>
      </c>
    </row>
    <row r="38" spans="1:16" x14ac:dyDescent="0.35">
      <c r="A38" t="s">
        <v>117</v>
      </c>
      <c r="B38" s="2">
        <v>46106</v>
      </c>
      <c r="C38" t="s">
        <v>47</v>
      </c>
      <c r="D38" t="s">
        <v>48</v>
      </c>
      <c r="E38" t="s">
        <v>49</v>
      </c>
      <c r="F38" t="s">
        <v>20</v>
      </c>
      <c r="G38" t="s">
        <v>29</v>
      </c>
      <c r="H38" t="s">
        <v>50</v>
      </c>
      <c r="I38">
        <v>-1</v>
      </c>
      <c r="J38" s="3">
        <v>107900</v>
      </c>
      <c r="K38" s="3">
        <v>139900</v>
      </c>
      <c r="L38" s="3">
        <v>-139900</v>
      </c>
      <c r="M38" s="3">
        <v>-32000</v>
      </c>
      <c r="N38" t="s">
        <v>40</v>
      </c>
      <c r="O38" t="s">
        <v>60</v>
      </c>
      <c r="P38">
        <v>90</v>
      </c>
    </row>
    <row r="39" spans="1:16" hidden="1" x14ac:dyDescent="0.35">
      <c r="A39" t="s">
        <v>118</v>
      </c>
      <c r="B39" s="2">
        <v>46154</v>
      </c>
      <c r="C39" t="s">
        <v>119</v>
      </c>
      <c r="D39" t="s">
        <v>120</v>
      </c>
      <c r="E39" t="s">
        <v>54</v>
      </c>
      <c r="F39" t="s">
        <v>83</v>
      </c>
      <c r="G39" t="s">
        <v>77</v>
      </c>
      <c r="H39" t="s">
        <v>50</v>
      </c>
      <c r="I39">
        <v>1</v>
      </c>
      <c r="J39" s="3">
        <v>7700</v>
      </c>
      <c r="K39" s="3">
        <v>9800</v>
      </c>
      <c r="L39" s="3">
        <v>9800</v>
      </c>
      <c r="M39" s="3">
        <v>2100</v>
      </c>
      <c r="N39" t="s">
        <v>23</v>
      </c>
      <c r="O39" t="s">
        <v>45</v>
      </c>
      <c r="P39">
        <v>30</v>
      </c>
    </row>
    <row r="40" spans="1:16" x14ac:dyDescent="0.35">
      <c r="A40" t="s">
        <v>121</v>
      </c>
      <c r="B40" s="2">
        <v>46206</v>
      </c>
      <c r="C40" t="s">
        <v>52</v>
      </c>
      <c r="D40" t="s">
        <v>53</v>
      </c>
      <c r="E40" t="s">
        <v>54</v>
      </c>
      <c r="F40" t="s">
        <v>55</v>
      </c>
      <c r="G40" t="s">
        <v>77</v>
      </c>
      <c r="H40" t="s">
        <v>50</v>
      </c>
      <c r="I40">
        <v>1</v>
      </c>
      <c r="J40" s="3">
        <v>31400</v>
      </c>
      <c r="K40" s="3">
        <v>40600</v>
      </c>
      <c r="L40" s="3">
        <v>40600</v>
      </c>
      <c r="M40" s="3">
        <v>9200</v>
      </c>
      <c r="N40" t="s">
        <v>40</v>
      </c>
      <c r="O40" t="s">
        <v>45</v>
      </c>
      <c r="P40">
        <v>30</v>
      </c>
    </row>
    <row r="41" spans="1:16" hidden="1" x14ac:dyDescent="0.35">
      <c r="A41" t="s">
        <v>122</v>
      </c>
      <c r="B41" s="2">
        <v>46169</v>
      </c>
      <c r="C41" t="s">
        <v>33</v>
      </c>
      <c r="D41" t="s">
        <v>34</v>
      </c>
      <c r="E41" t="s">
        <v>19</v>
      </c>
      <c r="F41" t="s">
        <v>20</v>
      </c>
      <c r="G41" t="s">
        <v>77</v>
      </c>
      <c r="H41" t="s">
        <v>30</v>
      </c>
      <c r="I41">
        <v>1</v>
      </c>
      <c r="J41" s="3">
        <v>272400</v>
      </c>
      <c r="K41" s="3">
        <v>326800</v>
      </c>
      <c r="L41" s="3">
        <v>326800</v>
      </c>
      <c r="M41" s="3">
        <v>54400</v>
      </c>
      <c r="N41" t="s">
        <v>31</v>
      </c>
      <c r="O41" t="s">
        <v>24</v>
      </c>
      <c r="P41">
        <v>180</v>
      </c>
    </row>
    <row r="42" spans="1:16" hidden="1" x14ac:dyDescent="0.35">
      <c r="A42" t="s">
        <v>123</v>
      </c>
      <c r="B42" s="2">
        <v>46046</v>
      </c>
      <c r="C42" t="s">
        <v>33</v>
      </c>
      <c r="D42" t="s">
        <v>34</v>
      </c>
      <c r="E42" t="s">
        <v>19</v>
      </c>
      <c r="F42" t="s">
        <v>20</v>
      </c>
      <c r="G42" t="s">
        <v>39</v>
      </c>
      <c r="H42" t="s">
        <v>30</v>
      </c>
      <c r="I42">
        <v>1</v>
      </c>
      <c r="J42" s="3">
        <v>196100</v>
      </c>
      <c r="K42" s="3">
        <v>257700</v>
      </c>
      <c r="L42" s="3">
        <v>257700</v>
      </c>
      <c r="M42" s="3">
        <v>61600</v>
      </c>
      <c r="N42" t="s">
        <v>31</v>
      </c>
      <c r="O42" t="s">
        <v>24</v>
      </c>
      <c r="P42">
        <v>180</v>
      </c>
    </row>
    <row r="43" spans="1:16" hidden="1" x14ac:dyDescent="0.35">
      <c r="A43" t="s">
        <v>124</v>
      </c>
      <c r="B43" s="2">
        <v>46124</v>
      </c>
      <c r="C43" t="s">
        <v>57</v>
      </c>
      <c r="D43" t="s">
        <v>58</v>
      </c>
      <c r="E43" t="s">
        <v>49</v>
      </c>
      <c r="F43" t="s">
        <v>59</v>
      </c>
      <c r="G43" t="s">
        <v>77</v>
      </c>
      <c r="H43" t="s">
        <v>22</v>
      </c>
      <c r="I43">
        <v>-1</v>
      </c>
      <c r="J43" s="3">
        <v>89000</v>
      </c>
      <c r="K43" s="3">
        <v>117200</v>
      </c>
      <c r="L43" s="3">
        <v>-117200</v>
      </c>
      <c r="M43" s="3">
        <v>-28200</v>
      </c>
      <c r="N43" t="s">
        <v>37</v>
      </c>
      <c r="O43" t="s">
        <v>60</v>
      </c>
      <c r="P43">
        <v>90</v>
      </c>
    </row>
    <row r="44" spans="1:16" hidden="1" x14ac:dyDescent="0.35">
      <c r="A44" t="s">
        <v>125</v>
      </c>
      <c r="B44" s="2">
        <v>46213</v>
      </c>
      <c r="C44" t="s">
        <v>33</v>
      </c>
      <c r="D44" t="s">
        <v>34</v>
      </c>
      <c r="E44" t="s">
        <v>19</v>
      </c>
      <c r="F44" t="s">
        <v>20</v>
      </c>
      <c r="G44" t="s">
        <v>21</v>
      </c>
      <c r="H44" t="s">
        <v>22</v>
      </c>
      <c r="I44">
        <v>2</v>
      </c>
      <c r="J44" s="3">
        <v>252800</v>
      </c>
      <c r="K44" s="3">
        <v>323900</v>
      </c>
      <c r="L44" s="3">
        <v>647800</v>
      </c>
      <c r="M44" s="3">
        <v>142200</v>
      </c>
      <c r="N44" t="s">
        <v>31</v>
      </c>
      <c r="O44" t="s">
        <v>24</v>
      </c>
      <c r="P44">
        <v>180</v>
      </c>
    </row>
    <row r="45" spans="1:16" hidden="1" x14ac:dyDescent="0.35">
      <c r="A45" t="s">
        <v>126</v>
      </c>
      <c r="B45" s="2">
        <v>46286</v>
      </c>
      <c r="C45" t="s">
        <v>69</v>
      </c>
      <c r="D45" t="s">
        <v>70</v>
      </c>
      <c r="E45" t="s">
        <v>54</v>
      </c>
      <c r="F45" t="s">
        <v>64</v>
      </c>
      <c r="G45" t="s">
        <v>77</v>
      </c>
      <c r="H45" t="s">
        <v>30</v>
      </c>
      <c r="I45">
        <v>2</v>
      </c>
      <c r="J45" s="3">
        <v>15800</v>
      </c>
      <c r="K45" s="3">
        <v>20400</v>
      </c>
      <c r="L45" s="3">
        <v>40800</v>
      </c>
      <c r="M45" s="3">
        <v>9200</v>
      </c>
      <c r="N45" t="s">
        <v>31</v>
      </c>
      <c r="O45" t="s">
        <v>24</v>
      </c>
      <c r="P45">
        <v>30</v>
      </c>
    </row>
    <row r="46" spans="1:16" hidden="1" x14ac:dyDescent="0.35">
      <c r="A46" t="s">
        <v>127</v>
      </c>
      <c r="B46" s="2">
        <v>46116</v>
      </c>
      <c r="C46" t="s">
        <v>52</v>
      </c>
      <c r="D46" t="s">
        <v>53</v>
      </c>
      <c r="E46" t="s">
        <v>54</v>
      </c>
      <c r="F46" t="s">
        <v>55</v>
      </c>
      <c r="G46" t="s">
        <v>77</v>
      </c>
      <c r="H46" t="s">
        <v>30</v>
      </c>
      <c r="I46">
        <v>1</v>
      </c>
      <c r="J46" s="3">
        <v>26500</v>
      </c>
      <c r="K46" s="3">
        <v>32600</v>
      </c>
      <c r="L46" s="3">
        <v>32600</v>
      </c>
      <c r="M46" s="3">
        <v>6100</v>
      </c>
      <c r="N46" t="s">
        <v>23</v>
      </c>
      <c r="O46" t="s">
        <v>45</v>
      </c>
      <c r="P46">
        <v>30</v>
      </c>
    </row>
    <row r="47" spans="1:16" x14ac:dyDescent="0.35">
      <c r="A47" t="s">
        <v>128</v>
      </c>
      <c r="B47" s="2">
        <v>46265</v>
      </c>
      <c r="C47" t="s">
        <v>42</v>
      </c>
      <c r="D47" t="s">
        <v>43</v>
      </c>
      <c r="E47" t="s">
        <v>44</v>
      </c>
      <c r="F47" t="s">
        <v>28</v>
      </c>
      <c r="G47" t="s">
        <v>21</v>
      </c>
      <c r="H47" t="s">
        <v>30</v>
      </c>
      <c r="I47">
        <v>2</v>
      </c>
      <c r="J47" s="3">
        <v>201600</v>
      </c>
      <c r="K47" s="3">
        <v>243100</v>
      </c>
      <c r="L47" s="3">
        <v>486200</v>
      </c>
      <c r="M47" s="3">
        <v>83000</v>
      </c>
      <c r="N47" t="s">
        <v>40</v>
      </c>
      <c r="O47" t="s">
        <v>24</v>
      </c>
      <c r="P47">
        <v>180</v>
      </c>
    </row>
    <row r="48" spans="1:16" hidden="1" x14ac:dyDescent="0.35">
      <c r="A48" t="s">
        <v>129</v>
      </c>
      <c r="B48" s="2">
        <v>46070</v>
      </c>
      <c r="C48" t="s">
        <v>73</v>
      </c>
      <c r="D48" t="s">
        <v>74</v>
      </c>
      <c r="E48" t="s">
        <v>75</v>
      </c>
      <c r="F48" t="s">
        <v>76</v>
      </c>
      <c r="G48" t="s">
        <v>77</v>
      </c>
      <c r="H48" t="s">
        <v>35</v>
      </c>
      <c r="I48">
        <v>2</v>
      </c>
      <c r="J48" s="3">
        <v>48700</v>
      </c>
      <c r="K48" s="3">
        <v>63300</v>
      </c>
      <c r="L48" s="3">
        <v>126600</v>
      </c>
      <c r="M48" s="3">
        <v>29200</v>
      </c>
      <c r="N48" t="s">
        <v>23</v>
      </c>
      <c r="O48" t="s">
        <v>24</v>
      </c>
      <c r="P48">
        <v>90</v>
      </c>
    </row>
    <row r="49" spans="1:16" hidden="1" x14ac:dyDescent="0.35">
      <c r="A49" t="s">
        <v>130</v>
      </c>
      <c r="B49" s="2">
        <v>46050</v>
      </c>
      <c r="C49" t="s">
        <v>66</v>
      </c>
      <c r="D49" t="s">
        <v>67</v>
      </c>
      <c r="E49" t="s">
        <v>44</v>
      </c>
      <c r="F49" t="s">
        <v>20</v>
      </c>
      <c r="G49" t="s">
        <v>29</v>
      </c>
      <c r="H49" t="s">
        <v>30</v>
      </c>
      <c r="I49">
        <v>1</v>
      </c>
      <c r="J49" s="3">
        <v>244000</v>
      </c>
      <c r="K49" s="3">
        <v>284200</v>
      </c>
      <c r="L49" s="3">
        <v>284200</v>
      </c>
      <c r="M49" s="3">
        <v>40200</v>
      </c>
      <c r="N49" t="s">
        <v>23</v>
      </c>
      <c r="O49" t="s">
        <v>24</v>
      </c>
      <c r="P49">
        <v>180</v>
      </c>
    </row>
    <row r="50" spans="1:16" x14ac:dyDescent="0.35">
      <c r="A50" t="s">
        <v>131</v>
      </c>
      <c r="B50" s="2">
        <v>46280</v>
      </c>
      <c r="C50" t="s">
        <v>62</v>
      </c>
      <c r="D50" t="s">
        <v>63</v>
      </c>
      <c r="E50" t="s">
        <v>54</v>
      </c>
      <c r="F50" t="s">
        <v>64</v>
      </c>
      <c r="G50" t="s">
        <v>21</v>
      </c>
      <c r="H50" t="s">
        <v>50</v>
      </c>
      <c r="I50">
        <v>1</v>
      </c>
      <c r="J50" s="3">
        <v>18600</v>
      </c>
      <c r="K50" s="3">
        <v>23200</v>
      </c>
      <c r="L50" s="3">
        <v>23200</v>
      </c>
      <c r="M50" s="3">
        <v>4600</v>
      </c>
      <c r="N50" t="s">
        <v>40</v>
      </c>
      <c r="O50" t="s">
        <v>45</v>
      </c>
      <c r="P50">
        <v>30</v>
      </c>
    </row>
    <row r="51" spans="1:16" hidden="1" x14ac:dyDescent="0.35">
      <c r="A51" t="s">
        <v>132</v>
      </c>
      <c r="B51" s="2">
        <v>46139</v>
      </c>
      <c r="C51" t="s">
        <v>33</v>
      </c>
      <c r="D51" t="s">
        <v>34</v>
      </c>
      <c r="E51" t="s">
        <v>19</v>
      </c>
      <c r="F51" t="s">
        <v>20</v>
      </c>
      <c r="G51" t="s">
        <v>29</v>
      </c>
      <c r="H51" t="s">
        <v>30</v>
      </c>
      <c r="I51">
        <v>3</v>
      </c>
      <c r="J51" s="3">
        <v>305000</v>
      </c>
      <c r="K51" s="3">
        <v>394100</v>
      </c>
      <c r="L51" s="3">
        <v>1182300</v>
      </c>
      <c r="M51" s="3">
        <v>267300</v>
      </c>
      <c r="N51" t="s">
        <v>23</v>
      </c>
      <c r="O51" t="s">
        <v>45</v>
      </c>
      <c r="P51">
        <v>180</v>
      </c>
    </row>
    <row r="52" spans="1:16" hidden="1" x14ac:dyDescent="0.35">
      <c r="A52" t="s">
        <v>133</v>
      </c>
      <c r="B52" s="2">
        <v>46189</v>
      </c>
      <c r="C52" t="s">
        <v>134</v>
      </c>
      <c r="D52" t="s">
        <v>135</v>
      </c>
      <c r="E52" t="s">
        <v>106</v>
      </c>
      <c r="F52" t="s">
        <v>76</v>
      </c>
      <c r="G52" t="s">
        <v>21</v>
      </c>
      <c r="H52" t="s">
        <v>30</v>
      </c>
      <c r="I52">
        <v>1</v>
      </c>
      <c r="J52" s="3">
        <v>27200</v>
      </c>
      <c r="K52" s="3">
        <v>35100</v>
      </c>
      <c r="L52" s="3">
        <v>35100</v>
      </c>
      <c r="M52" s="3">
        <v>7900</v>
      </c>
      <c r="N52" t="s">
        <v>37</v>
      </c>
      <c r="O52" t="s">
        <v>45</v>
      </c>
      <c r="P52">
        <v>90</v>
      </c>
    </row>
    <row r="53" spans="1:16" hidden="1" x14ac:dyDescent="0.35">
      <c r="A53" t="s">
        <v>136</v>
      </c>
      <c r="B53" s="2">
        <v>46168</v>
      </c>
      <c r="C53" t="s">
        <v>95</v>
      </c>
      <c r="D53" t="s">
        <v>96</v>
      </c>
      <c r="E53" t="s">
        <v>19</v>
      </c>
      <c r="F53" t="s">
        <v>28</v>
      </c>
      <c r="G53" t="s">
        <v>21</v>
      </c>
      <c r="H53" t="s">
        <v>50</v>
      </c>
      <c r="I53">
        <v>1</v>
      </c>
      <c r="J53" s="3">
        <v>284100</v>
      </c>
      <c r="K53" s="3">
        <v>345200</v>
      </c>
      <c r="L53" s="3">
        <v>345200</v>
      </c>
      <c r="M53" s="3">
        <v>61100</v>
      </c>
      <c r="N53" t="s">
        <v>31</v>
      </c>
      <c r="O53" t="s">
        <v>24</v>
      </c>
      <c r="P53">
        <v>180</v>
      </c>
    </row>
    <row r="54" spans="1:16" x14ac:dyDescent="0.35">
      <c r="A54" t="s">
        <v>137</v>
      </c>
      <c r="B54" s="2">
        <v>46068</v>
      </c>
      <c r="C54" t="s">
        <v>62</v>
      </c>
      <c r="D54" t="s">
        <v>63</v>
      </c>
      <c r="E54" t="s">
        <v>54</v>
      </c>
      <c r="F54" t="s">
        <v>64</v>
      </c>
      <c r="G54" t="s">
        <v>29</v>
      </c>
      <c r="H54" t="s">
        <v>50</v>
      </c>
      <c r="I54">
        <v>1</v>
      </c>
      <c r="J54" s="3">
        <v>9200</v>
      </c>
      <c r="K54" s="3">
        <v>10800</v>
      </c>
      <c r="L54" s="3">
        <v>10800</v>
      </c>
      <c r="M54" s="3">
        <v>1600</v>
      </c>
      <c r="N54" t="s">
        <v>40</v>
      </c>
      <c r="O54" t="s">
        <v>24</v>
      </c>
      <c r="P54">
        <v>30</v>
      </c>
    </row>
    <row r="55" spans="1:16" hidden="1" x14ac:dyDescent="0.35">
      <c r="A55" t="s">
        <v>138</v>
      </c>
      <c r="B55" s="2">
        <v>46196</v>
      </c>
      <c r="C55" t="s">
        <v>52</v>
      </c>
      <c r="D55" t="s">
        <v>53</v>
      </c>
      <c r="E55" t="s">
        <v>54</v>
      </c>
      <c r="F55" t="s">
        <v>55</v>
      </c>
      <c r="G55" t="s">
        <v>21</v>
      </c>
      <c r="H55" t="s">
        <v>30</v>
      </c>
      <c r="I55">
        <v>1</v>
      </c>
      <c r="J55" s="3">
        <v>26400</v>
      </c>
      <c r="K55" s="3">
        <v>33300</v>
      </c>
      <c r="L55" s="3">
        <v>33300</v>
      </c>
      <c r="M55" s="3">
        <v>6900</v>
      </c>
      <c r="N55" t="s">
        <v>23</v>
      </c>
      <c r="O55" t="s">
        <v>45</v>
      </c>
      <c r="P55">
        <v>30</v>
      </c>
    </row>
    <row r="56" spans="1:16" hidden="1" x14ac:dyDescent="0.35">
      <c r="A56" t="s">
        <v>139</v>
      </c>
      <c r="B56" s="2">
        <v>46221</v>
      </c>
      <c r="C56" t="s">
        <v>90</v>
      </c>
      <c r="D56" t="s">
        <v>91</v>
      </c>
      <c r="E56" t="s">
        <v>19</v>
      </c>
      <c r="F56" t="s">
        <v>92</v>
      </c>
      <c r="G56" t="s">
        <v>21</v>
      </c>
      <c r="H56" t="s">
        <v>22</v>
      </c>
      <c r="I56">
        <v>2</v>
      </c>
      <c r="J56" s="3">
        <v>296600</v>
      </c>
      <c r="K56" s="3">
        <v>355300</v>
      </c>
      <c r="L56" s="3">
        <v>710600</v>
      </c>
      <c r="M56" s="3">
        <v>117400</v>
      </c>
      <c r="N56" t="s">
        <v>31</v>
      </c>
      <c r="O56" t="s">
        <v>24</v>
      </c>
      <c r="P56">
        <v>180</v>
      </c>
    </row>
    <row r="57" spans="1:16" hidden="1" x14ac:dyDescent="0.35">
      <c r="A57" t="s">
        <v>140</v>
      </c>
      <c r="B57" s="2">
        <v>46139</v>
      </c>
      <c r="C57" t="s">
        <v>42</v>
      </c>
      <c r="D57" t="s">
        <v>43</v>
      </c>
      <c r="E57" t="s">
        <v>44</v>
      </c>
      <c r="F57" t="s">
        <v>28</v>
      </c>
      <c r="G57" t="s">
        <v>21</v>
      </c>
      <c r="H57" t="s">
        <v>50</v>
      </c>
      <c r="I57">
        <v>4</v>
      </c>
      <c r="J57" s="3">
        <v>252900</v>
      </c>
      <c r="K57" s="3">
        <v>326400</v>
      </c>
      <c r="L57" s="3">
        <v>1305600</v>
      </c>
      <c r="M57" s="3">
        <v>294000</v>
      </c>
      <c r="N57" t="s">
        <v>31</v>
      </c>
      <c r="O57" t="s">
        <v>45</v>
      </c>
      <c r="P57">
        <v>180</v>
      </c>
    </row>
    <row r="58" spans="1:16" hidden="1" x14ac:dyDescent="0.35">
      <c r="A58" t="s">
        <v>141</v>
      </c>
      <c r="B58" s="2">
        <v>46111</v>
      </c>
      <c r="C58" t="s">
        <v>119</v>
      </c>
      <c r="D58" t="s">
        <v>120</v>
      </c>
      <c r="E58" t="s">
        <v>54</v>
      </c>
      <c r="F58" t="s">
        <v>83</v>
      </c>
      <c r="G58" t="s">
        <v>21</v>
      </c>
      <c r="H58" t="s">
        <v>50</v>
      </c>
      <c r="I58">
        <v>2</v>
      </c>
      <c r="J58" s="3">
        <v>20600</v>
      </c>
      <c r="K58" s="3">
        <v>24700</v>
      </c>
      <c r="L58" s="3">
        <v>49400</v>
      </c>
      <c r="M58" s="3">
        <v>8200</v>
      </c>
      <c r="N58" t="s">
        <v>23</v>
      </c>
      <c r="O58" t="s">
        <v>45</v>
      </c>
      <c r="P58">
        <v>30</v>
      </c>
    </row>
    <row r="59" spans="1:16" hidden="1" x14ac:dyDescent="0.35">
      <c r="A59" t="s">
        <v>142</v>
      </c>
      <c r="B59" s="2">
        <v>46096</v>
      </c>
      <c r="C59" t="s">
        <v>52</v>
      </c>
      <c r="D59" t="s">
        <v>53</v>
      </c>
      <c r="E59" t="s">
        <v>54</v>
      </c>
      <c r="F59" t="s">
        <v>55</v>
      </c>
      <c r="G59" t="s">
        <v>21</v>
      </c>
      <c r="H59" t="s">
        <v>50</v>
      </c>
      <c r="I59">
        <v>1</v>
      </c>
      <c r="J59" s="3">
        <v>23600</v>
      </c>
      <c r="K59" s="3">
        <v>29600</v>
      </c>
      <c r="L59" s="3">
        <v>29600</v>
      </c>
      <c r="M59" s="3">
        <v>6000</v>
      </c>
      <c r="N59" t="s">
        <v>23</v>
      </c>
      <c r="O59" t="s">
        <v>45</v>
      </c>
      <c r="P59">
        <v>30</v>
      </c>
    </row>
    <row r="60" spans="1:16" hidden="1" x14ac:dyDescent="0.35">
      <c r="A60" t="s">
        <v>143</v>
      </c>
      <c r="B60" s="2">
        <v>46169</v>
      </c>
      <c r="C60" t="s">
        <v>81</v>
      </c>
      <c r="D60" t="s">
        <v>82</v>
      </c>
      <c r="E60" t="s">
        <v>44</v>
      </c>
      <c r="F60" t="s">
        <v>83</v>
      </c>
      <c r="G60" t="s">
        <v>21</v>
      </c>
      <c r="H60" t="s">
        <v>35</v>
      </c>
      <c r="I60">
        <v>1</v>
      </c>
      <c r="J60" s="3">
        <v>211700</v>
      </c>
      <c r="K60" s="3">
        <v>246100</v>
      </c>
      <c r="L60" s="3">
        <v>246100</v>
      </c>
      <c r="M60" s="3">
        <v>34400</v>
      </c>
      <c r="N60" t="s">
        <v>23</v>
      </c>
      <c r="O60" t="s">
        <v>45</v>
      </c>
      <c r="P60">
        <v>180</v>
      </c>
    </row>
    <row r="61" spans="1:16" hidden="1" x14ac:dyDescent="0.35">
      <c r="A61" t="s">
        <v>144</v>
      </c>
      <c r="B61" s="2">
        <v>46141</v>
      </c>
      <c r="C61" t="s">
        <v>87</v>
      </c>
      <c r="D61" t="s">
        <v>88</v>
      </c>
      <c r="E61" t="s">
        <v>75</v>
      </c>
      <c r="F61" t="s">
        <v>76</v>
      </c>
      <c r="G61" t="s">
        <v>39</v>
      </c>
      <c r="H61" t="s">
        <v>22</v>
      </c>
      <c r="I61">
        <v>5</v>
      </c>
      <c r="J61" s="3">
        <v>26000</v>
      </c>
      <c r="K61" s="3">
        <v>31900</v>
      </c>
      <c r="L61" s="3">
        <v>159500</v>
      </c>
      <c r="M61" s="3">
        <v>29500</v>
      </c>
      <c r="N61" t="s">
        <v>23</v>
      </c>
      <c r="O61" t="s">
        <v>24</v>
      </c>
      <c r="P61">
        <v>90</v>
      </c>
    </row>
    <row r="62" spans="1:16" hidden="1" x14ac:dyDescent="0.35">
      <c r="A62" t="s">
        <v>145</v>
      </c>
      <c r="B62" s="2">
        <v>46269</v>
      </c>
      <c r="C62" t="s">
        <v>66</v>
      </c>
      <c r="D62" t="s">
        <v>67</v>
      </c>
      <c r="E62" t="s">
        <v>44</v>
      </c>
      <c r="F62" t="s">
        <v>20</v>
      </c>
      <c r="G62" t="s">
        <v>39</v>
      </c>
      <c r="H62" t="s">
        <v>50</v>
      </c>
      <c r="I62">
        <v>1</v>
      </c>
      <c r="J62" s="3">
        <v>191900</v>
      </c>
      <c r="K62" s="3">
        <v>215700</v>
      </c>
      <c r="L62" s="3">
        <v>215700</v>
      </c>
      <c r="M62" s="3">
        <v>23800</v>
      </c>
      <c r="N62" t="s">
        <v>37</v>
      </c>
      <c r="O62" t="s">
        <v>24</v>
      </c>
      <c r="P62">
        <v>180</v>
      </c>
    </row>
    <row r="63" spans="1:16" hidden="1" x14ac:dyDescent="0.35">
      <c r="A63" t="s">
        <v>146</v>
      </c>
      <c r="B63" s="2">
        <v>46110</v>
      </c>
      <c r="C63" t="s">
        <v>81</v>
      </c>
      <c r="D63" t="s">
        <v>82</v>
      </c>
      <c r="E63" t="s">
        <v>44</v>
      </c>
      <c r="F63" t="s">
        <v>83</v>
      </c>
      <c r="G63" t="s">
        <v>77</v>
      </c>
      <c r="H63" t="s">
        <v>22</v>
      </c>
      <c r="I63">
        <v>2</v>
      </c>
      <c r="J63" s="3">
        <v>254400</v>
      </c>
      <c r="K63" s="3">
        <v>293500</v>
      </c>
      <c r="L63" s="3">
        <v>587000</v>
      </c>
      <c r="M63" s="3">
        <v>78200</v>
      </c>
      <c r="N63" t="s">
        <v>23</v>
      </c>
      <c r="O63" t="s">
        <v>24</v>
      </c>
      <c r="P63">
        <v>180</v>
      </c>
    </row>
    <row r="64" spans="1:16" hidden="1" x14ac:dyDescent="0.35">
      <c r="A64" t="s">
        <v>147</v>
      </c>
      <c r="B64" s="2">
        <v>46065</v>
      </c>
      <c r="C64" t="s">
        <v>42</v>
      </c>
      <c r="D64" t="s">
        <v>43</v>
      </c>
      <c r="E64" t="s">
        <v>44</v>
      </c>
      <c r="F64" t="s">
        <v>28</v>
      </c>
      <c r="G64" t="s">
        <v>29</v>
      </c>
      <c r="H64" t="s">
        <v>22</v>
      </c>
      <c r="I64">
        <v>1</v>
      </c>
      <c r="J64" s="3">
        <v>233300</v>
      </c>
      <c r="K64" s="3">
        <v>303700</v>
      </c>
      <c r="L64" s="3">
        <v>303700</v>
      </c>
      <c r="M64" s="3">
        <v>70400</v>
      </c>
      <c r="N64" t="s">
        <v>31</v>
      </c>
      <c r="O64" t="s">
        <v>24</v>
      </c>
      <c r="P64">
        <v>180</v>
      </c>
    </row>
    <row r="65" spans="1:16" hidden="1" x14ac:dyDescent="0.35">
      <c r="A65" t="s">
        <v>148</v>
      </c>
      <c r="B65" s="2">
        <v>46204</v>
      </c>
      <c r="C65" t="s">
        <v>69</v>
      </c>
      <c r="D65" t="s">
        <v>70</v>
      </c>
      <c r="E65" t="s">
        <v>54</v>
      </c>
      <c r="F65" t="s">
        <v>64</v>
      </c>
      <c r="G65" t="s">
        <v>21</v>
      </c>
      <c r="H65" t="s">
        <v>35</v>
      </c>
      <c r="I65">
        <v>2</v>
      </c>
      <c r="J65" s="3">
        <v>29600</v>
      </c>
      <c r="K65" s="3">
        <v>37900</v>
      </c>
      <c r="L65" s="3">
        <v>75800</v>
      </c>
      <c r="M65" s="3">
        <v>16600</v>
      </c>
      <c r="N65" t="s">
        <v>23</v>
      </c>
      <c r="O65" t="s">
        <v>24</v>
      </c>
      <c r="P65">
        <v>30</v>
      </c>
    </row>
    <row r="66" spans="1:16" hidden="1" x14ac:dyDescent="0.35">
      <c r="A66" t="s">
        <v>149</v>
      </c>
      <c r="B66" s="2">
        <v>46081</v>
      </c>
      <c r="C66" t="s">
        <v>73</v>
      </c>
      <c r="D66" t="s">
        <v>74</v>
      </c>
      <c r="E66" t="s">
        <v>75</v>
      </c>
      <c r="F66" t="s">
        <v>76</v>
      </c>
      <c r="G66" t="s">
        <v>21</v>
      </c>
      <c r="H66" t="s">
        <v>35</v>
      </c>
      <c r="I66">
        <v>1</v>
      </c>
      <c r="J66" s="3">
        <v>57400</v>
      </c>
      <c r="K66" s="3">
        <v>64400</v>
      </c>
      <c r="L66" s="3">
        <v>64400</v>
      </c>
      <c r="M66" s="3">
        <v>7000</v>
      </c>
      <c r="N66" t="s">
        <v>37</v>
      </c>
      <c r="O66" t="s">
        <v>45</v>
      </c>
      <c r="P66">
        <v>90</v>
      </c>
    </row>
    <row r="67" spans="1:16" hidden="1" x14ac:dyDescent="0.35">
      <c r="A67" t="s">
        <v>150</v>
      </c>
      <c r="B67" s="2">
        <v>46274</v>
      </c>
      <c r="C67" t="s">
        <v>111</v>
      </c>
      <c r="D67" t="s">
        <v>112</v>
      </c>
      <c r="E67" t="s">
        <v>19</v>
      </c>
      <c r="F67" t="s">
        <v>83</v>
      </c>
      <c r="G67" t="s">
        <v>21</v>
      </c>
      <c r="H67" t="s">
        <v>30</v>
      </c>
      <c r="I67">
        <v>4</v>
      </c>
      <c r="J67" s="3">
        <v>241000</v>
      </c>
      <c r="K67" s="3">
        <v>305300</v>
      </c>
      <c r="L67" s="3">
        <v>1221200</v>
      </c>
      <c r="M67" s="3">
        <v>257200</v>
      </c>
      <c r="N67" t="s">
        <v>31</v>
      </c>
      <c r="O67" t="s">
        <v>24</v>
      </c>
      <c r="P67">
        <v>180</v>
      </c>
    </row>
    <row r="68" spans="1:16" hidden="1" x14ac:dyDescent="0.35">
      <c r="A68" t="s">
        <v>151</v>
      </c>
      <c r="B68" s="2">
        <v>46151</v>
      </c>
      <c r="C68" t="s">
        <v>57</v>
      </c>
      <c r="D68" t="s">
        <v>58</v>
      </c>
      <c r="E68" t="s">
        <v>49</v>
      </c>
      <c r="F68" t="s">
        <v>59</v>
      </c>
      <c r="G68" t="s">
        <v>21</v>
      </c>
      <c r="H68" t="s">
        <v>30</v>
      </c>
      <c r="I68">
        <v>1</v>
      </c>
      <c r="J68" s="3">
        <v>111800</v>
      </c>
      <c r="K68" s="3">
        <v>143800</v>
      </c>
      <c r="L68" s="3">
        <v>143800</v>
      </c>
      <c r="M68" s="3">
        <v>32000</v>
      </c>
      <c r="N68" t="s">
        <v>31</v>
      </c>
      <c r="O68" t="s">
        <v>45</v>
      </c>
      <c r="P68">
        <v>90</v>
      </c>
    </row>
    <row r="69" spans="1:16" hidden="1" x14ac:dyDescent="0.35">
      <c r="A69" t="s">
        <v>152</v>
      </c>
      <c r="B69" s="2">
        <v>46159</v>
      </c>
      <c r="C69" t="s">
        <v>33</v>
      </c>
      <c r="D69" t="s">
        <v>34</v>
      </c>
      <c r="E69" t="s">
        <v>19</v>
      </c>
      <c r="F69" t="s">
        <v>20</v>
      </c>
      <c r="G69" t="s">
        <v>77</v>
      </c>
      <c r="H69" t="s">
        <v>35</v>
      </c>
      <c r="I69">
        <v>1</v>
      </c>
      <c r="J69" s="3">
        <v>249200</v>
      </c>
      <c r="K69" s="3">
        <v>295300</v>
      </c>
      <c r="L69" s="3">
        <v>295300</v>
      </c>
      <c r="M69" s="3">
        <v>46100</v>
      </c>
      <c r="N69" t="s">
        <v>31</v>
      </c>
      <c r="O69" t="s">
        <v>24</v>
      </c>
      <c r="P69">
        <v>180</v>
      </c>
    </row>
    <row r="70" spans="1:16" hidden="1" x14ac:dyDescent="0.35">
      <c r="A70" t="s">
        <v>153</v>
      </c>
      <c r="B70" s="2">
        <v>46277</v>
      </c>
      <c r="C70" t="s">
        <v>134</v>
      </c>
      <c r="D70" t="s">
        <v>135</v>
      </c>
      <c r="E70" t="s">
        <v>106</v>
      </c>
      <c r="F70" t="s">
        <v>76</v>
      </c>
      <c r="G70" t="s">
        <v>29</v>
      </c>
      <c r="H70" t="s">
        <v>30</v>
      </c>
      <c r="I70">
        <v>1</v>
      </c>
      <c r="J70" s="3">
        <v>18400</v>
      </c>
      <c r="K70" s="3">
        <v>24100</v>
      </c>
      <c r="L70" s="3">
        <v>24100</v>
      </c>
      <c r="M70" s="3">
        <v>5700</v>
      </c>
      <c r="N70" t="s">
        <v>37</v>
      </c>
      <c r="O70" t="s">
        <v>45</v>
      </c>
      <c r="P70">
        <v>90</v>
      </c>
    </row>
    <row r="71" spans="1:16" hidden="1" x14ac:dyDescent="0.35">
      <c r="A71" t="s">
        <v>154</v>
      </c>
      <c r="B71" s="2">
        <v>46183</v>
      </c>
      <c r="C71" t="s">
        <v>62</v>
      </c>
      <c r="D71" t="s">
        <v>63</v>
      </c>
      <c r="E71" t="s">
        <v>54</v>
      </c>
      <c r="F71" t="s">
        <v>64</v>
      </c>
      <c r="G71" t="s">
        <v>77</v>
      </c>
      <c r="H71" t="s">
        <v>30</v>
      </c>
      <c r="I71">
        <v>1</v>
      </c>
      <c r="J71" s="3">
        <v>29200</v>
      </c>
      <c r="K71" s="3">
        <v>33200</v>
      </c>
      <c r="L71" s="3">
        <v>33200</v>
      </c>
      <c r="M71" s="3">
        <v>4000</v>
      </c>
      <c r="N71" t="s">
        <v>31</v>
      </c>
      <c r="O71" t="s">
        <v>24</v>
      </c>
      <c r="P71">
        <v>30</v>
      </c>
    </row>
    <row r="72" spans="1:16" x14ac:dyDescent="0.35">
      <c r="A72" t="s">
        <v>155</v>
      </c>
      <c r="B72" s="2">
        <v>46165</v>
      </c>
      <c r="C72" t="s">
        <v>119</v>
      </c>
      <c r="D72" t="s">
        <v>120</v>
      </c>
      <c r="E72" t="s">
        <v>54</v>
      </c>
      <c r="F72" t="s">
        <v>83</v>
      </c>
      <c r="G72" t="s">
        <v>77</v>
      </c>
      <c r="H72" t="s">
        <v>35</v>
      </c>
      <c r="I72">
        <v>1</v>
      </c>
      <c r="J72" s="3">
        <v>34900</v>
      </c>
      <c r="K72" s="3">
        <v>42900</v>
      </c>
      <c r="L72" s="3">
        <v>42900</v>
      </c>
      <c r="M72" s="3">
        <v>8000</v>
      </c>
      <c r="N72" t="s">
        <v>40</v>
      </c>
      <c r="O72" t="s">
        <v>45</v>
      </c>
      <c r="P72">
        <v>30</v>
      </c>
    </row>
    <row r="73" spans="1:16" hidden="1" x14ac:dyDescent="0.35">
      <c r="A73" t="s">
        <v>156</v>
      </c>
      <c r="B73" s="2">
        <v>46125</v>
      </c>
      <c r="C73" t="s">
        <v>17</v>
      </c>
      <c r="D73" t="s">
        <v>18</v>
      </c>
      <c r="E73" t="s">
        <v>19</v>
      </c>
      <c r="F73" t="s">
        <v>20</v>
      </c>
      <c r="G73" t="s">
        <v>29</v>
      </c>
      <c r="H73" t="s">
        <v>30</v>
      </c>
      <c r="I73">
        <v>2</v>
      </c>
      <c r="J73" s="3">
        <v>281000</v>
      </c>
      <c r="K73" s="3">
        <v>332500</v>
      </c>
      <c r="L73" s="3">
        <v>665000</v>
      </c>
      <c r="M73" s="3">
        <v>103000</v>
      </c>
      <c r="N73" t="s">
        <v>31</v>
      </c>
      <c r="O73" t="s">
        <v>24</v>
      </c>
      <c r="P73">
        <v>180</v>
      </c>
    </row>
    <row r="74" spans="1:16" hidden="1" x14ac:dyDescent="0.35">
      <c r="A74" t="s">
        <v>157</v>
      </c>
      <c r="B74" s="2">
        <v>46126</v>
      </c>
      <c r="C74" t="s">
        <v>104</v>
      </c>
      <c r="D74" t="s">
        <v>105</v>
      </c>
      <c r="E74" t="s">
        <v>106</v>
      </c>
      <c r="F74" t="s">
        <v>76</v>
      </c>
      <c r="G74" t="s">
        <v>77</v>
      </c>
      <c r="H74" t="s">
        <v>50</v>
      </c>
      <c r="I74">
        <v>1</v>
      </c>
      <c r="J74" s="3">
        <v>54100</v>
      </c>
      <c r="K74" s="3">
        <v>66300</v>
      </c>
      <c r="L74" s="3">
        <v>66300</v>
      </c>
      <c r="M74" s="3">
        <v>12200</v>
      </c>
      <c r="N74" t="s">
        <v>31</v>
      </c>
      <c r="O74" t="s">
        <v>24</v>
      </c>
      <c r="P74">
        <v>90</v>
      </c>
    </row>
    <row r="75" spans="1:16" hidden="1" x14ac:dyDescent="0.35">
      <c r="A75" t="s">
        <v>158</v>
      </c>
      <c r="B75" s="2">
        <v>46054</v>
      </c>
      <c r="C75" t="s">
        <v>95</v>
      </c>
      <c r="D75" t="s">
        <v>96</v>
      </c>
      <c r="E75" t="s">
        <v>19</v>
      </c>
      <c r="F75" t="s">
        <v>28</v>
      </c>
      <c r="G75" t="s">
        <v>77</v>
      </c>
      <c r="H75" t="s">
        <v>50</v>
      </c>
      <c r="I75">
        <v>1</v>
      </c>
      <c r="J75" s="3">
        <v>222300</v>
      </c>
      <c r="K75" s="3">
        <v>280500</v>
      </c>
      <c r="L75" s="3">
        <v>280500</v>
      </c>
      <c r="M75" s="3">
        <v>58200</v>
      </c>
      <c r="N75" t="s">
        <v>37</v>
      </c>
      <c r="O75" t="s">
        <v>24</v>
      </c>
      <c r="P75">
        <v>180</v>
      </c>
    </row>
    <row r="76" spans="1:16" hidden="1" x14ac:dyDescent="0.35">
      <c r="A76" t="s">
        <v>159</v>
      </c>
      <c r="B76" s="2">
        <v>46201</v>
      </c>
      <c r="C76" t="s">
        <v>17</v>
      </c>
      <c r="D76" t="s">
        <v>18</v>
      </c>
      <c r="E76" t="s">
        <v>19</v>
      </c>
      <c r="F76" t="s">
        <v>20</v>
      </c>
      <c r="G76" t="s">
        <v>29</v>
      </c>
      <c r="H76" t="s">
        <v>22</v>
      </c>
      <c r="I76">
        <v>1</v>
      </c>
      <c r="J76" s="3">
        <v>302200</v>
      </c>
      <c r="K76" s="3">
        <v>373200</v>
      </c>
      <c r="L76" s="3">
        <v>373200</v>
      </c>
      <c r="M76" s="3">
        <v>71000</v>
      </c>
      <c r="N76" t="s">
        <v>31</v>
      </c>
      <c r="O76" t="s">
        <v>45</v>
      </c>
      <c r="P76">
        <v>180</v>
      </c>
    </row>
    <row r="77" spans="1:16" hidden="1" x14ac:dyDescent="0.35">
      <c r="A77" t="s">
        <v>160</v>
      </c>
      <c r="B77" s="2">
        <v>46054</v>
      </c>
      <c r="C77" t="s">
        <v>87</v>
      </c>
      <c r="D77" t="s">
        <v>88</v>
      </c>
      <c r="E77" t="s">
        <v>75</v>
      </c>
      <c r="F77" t="s">
        <v>76</v>
      </c>
      <c r="G77" t="s">
        <v>29</v>
      </c>
      <c r="H77" t="s">
        <v>50</v>
      </c>
      <c r="I77">
        <v>-1</v>
      </c>
      <c r="J77" s="3">
        <v>30700</v>
      </c>
      <c r="K77" s="3">
        <v>34800</v>
      </c>
      <c r="L77" s="3">
        <v>-34800</v>
      </c>
      <c r="M77" s="3">
        <v>-4100</v>
      </c>
      <c r="N77" t="s">
        <v>31</v>
      </c>
      <c r="O77" t="s">
        <v>60</v>
      </c>
      <c r="P77">
        <v>90</v>
      </c>
    </row>
    <row r="78" spans="1:16" hidden="1" x14ac:dyDescent="0.35">
      <c r="A78" t="s">
        <v>161</v>
      </c>
      <c r="B78" s="2">
        <v>46142</v>
      </c>
      <c r="C78" t="s">
        <v>26</v>
      </c>
      <c r="D78" t="s">
        <v>27</v>
      </c>
      <c r="E78" t="s">
        <v>19</v>
      </c>
      <c r="F78" t="s">
        <v>28</v>
      </c>
      <c r="G78" t="s">
        <v>21</v>
      </c>
      <c r="H78" t="s">
        <v>30</v>
      </c>
      <c r="I78">
        <v>-2</v>
      </c>
      <c r="J78" s="3">
        <v>319100</v>
      </c>
      <c r="K78" s="3">
        <v>365000</v>
      </c>
      <c r="L78" s="3">
        <v>-730000</v>
      </c>
      <c r="M78" s="3">
        <v>-91800</v>
      </c>
      <c r="N78" t="s">
        <v>37</v>
      </c>
      <c r="O78" t="s">
        <v>60</v>
      </c>
      <c r="P78">
        <v>180</v>
      </c>
    </row>
    <row r="79" spans="1:16" x14ac:dyDescent="0.35">
      <c r="A79" t="s">
        <v>162</v>
      </c>
      <c r="B79" s="2">
        <v>46057</v>
      </c>
      <c r="C79" t="s">
        <v>42</v>
      </c>
      <c r="D79" t="s">
        <v>43</v>
      </c>
      <c r="E79" t="s">
        <v>44</v>
      </c>
      <c r="F79" t="s">
        <v>28</v>
      </c>
      <c r="G79" t="s">
        <v>39</v>
      </c>
      <c r="H79" t="s">
        <v>50</v>
      </c>
      <c r="I79">
        <v>-1</v>
      </c>
      <c r="J79" s="3">
        <v>264600</v>
      </c>
      <c r="K79" s="3">
        <v>348700</v>
      </c>
      <c r="L79" s="3">
        <v>-348700</v>
      </c>
      <c r="M79" s="3">
        <v>-84100</v>
      </c>
      <c r="N79" t="s">
        <v>40</v>
      </c>
      <c r="O79" t="s">
        <v>60</v>
      </c>
      <c r="P79">
        <v>180</v>
      </c>
    </row>
    <row r="80" spans="1:16" hidden="1" x14ac:dyDescent="0.35">
      <c r="A80" t="s">
        <v>163</v>
      </c>
      <c r="B80" s="2">
        <v>46107</v>
      </c>
      <c r="C80" t="s">
        <v>81</v>
      </c>
      <c r="D80" t="s">
        <v>82</v>
      </c>
      <c r="E80" t="s">
        <v>44</v>
      </c>
      <c r="F80" t="s">
        <v>83</v>
      </c>
      <c r="G80" t="s">
        <v>39</v>
      </c>
      <c r="H80" t="s">
        <v>30</v>
      </c>
      <c r="I80">
        <v>1</v>
      </c>
      <c r="J80" s="3">
        <v>242600</v>
      </c>
      <c r="K80" s="3">
        <v>279300</v>
      </c>
      <c r="L80" s="3">
        <v>279300</v>
      </c>
      <c r="M80" s="3">
        <v>36700</v>
      </c>
      <c r="N80" t="s">
        <v>37</v>
      </c>
      <c r="O80" t="s">
        <v>24</v>
      </c>
      <c r="P80">
        <v>180</v>
      </c>
    </row>
    <row r="81" spans="1:16" hidden="1" x14ac:dyDescent="0.35">
      <c r="A81" t="s">
        <v>164</v>
      </c>
      <c r="B81" s="2">
        <v>46259</v>
      </c>
      <c r="C81" t="s">
        <v>69</v>
      </c>
      <c r="D81" t="s">
        <v>70</v>
      </c>
      <c r="E81" t="s">
        <v>54</v>
      </c>
      <c r="F81" t="s">
        <v>64</v>
      </c>
      <c r="G81" t="s">
        <v>39</v>
      </c>
      <c r="H81" t="s">
        <v>50</v>
      </c>
      <c r="I81">
        <v>1</v>
      </c>
      <c r="J81" s="3">
        <v>20200</v>
      </c>
      <c r="K81" s="3">
        <v>22800</v>
      </c>
      <c r="L81" s="3">
        <v>22800</v>
      </c>
      <c r="M81" s="3">
        <v>2600</v>
      </c>
      <c r="N81" t="s">
        <v>31</v>
      </c>
      <c r="O81" t="s">
        <v>24</v>
      </c>
      <c r="P81">
        <v>30</v>
      </c>
    </row>
    <row r="82" spans="1:16" x14ac:dyDescent="0.35">
      <c r="A82" t="s">
        <v>165</v>
      </c>
      <c r="B82" s="2">
        <v>46142</v>
      </c>
      <c r="C82" t="s">
        <v>104</v>
      </c>
      <c r="D82" t="s">
        <v>105</v>
      </c>
      <c r="E82" t="s">
        <v>106</v>
      </c>
      <c r="F82" t="s">
        <v>76</v>
      </c>
      <c r="G82" t="s">
        <v>29</v>
      </c>
      <c r="H82" t="s">
        <v>35</v>
      </c>
      <c r="I82">
        <v>-1</v>
      </c>
      <c r="J82" s="3">
        <v>42500</v>
      </c>
      <c r="K82" s="3">
        <v>55500</v>
      </c>
      <c r="L82" s="3">
        <v>-55500</v>
      </c>
      <c r="M82" s="3">
        <v>-13000</v>
      </c>
      <c r="N82" t="s">
        <v>40</v>
      </c>
      <c r="O82" t="s">
        <v>60</v>
      </c>
      <c r="P82">
        <v>90</v>
      </c>
    </row>
    <row r="83" spans="1:16" hidden="1" x14ac:dyDescent="0.35">
      <c r="A83" t="s">
        <v>166</v>
      </c>
      <c r="B83" s="2">
        <v>46174</v>
      </c>
      <c r="C83" t="s">
        <v>26</v>
      </c>
      <c r="D83" t="s">
        <v>27</v>
      </c>
      <c r="E83" t="s">
        <v>19</v>
      </c>
      <c r="F83" t="s">
        <v>28</v>
      </c>
      <c r="G83" t="s">
        <v>21</v>
      </c>
      <c r="H83" t="s">
        <v>22</v>
      </c>
      <c r="I83">
        <v>-2</v>
      </c>
      <c r="J83" s="3">
        <v>188300</v>
      </c>
      <c r="K83" s="3">
        <v>240700</v>
      </c>
      <c r="L83" s="3">
        <v>-481400</v>
      </c>
      <c r="M83" s="3">
        <v>-104800</v>
      </c>
      <c r="N83" t="s">
        <v>37</v>
      </c>
      <c r="O83" t="s">
        <v>60</v>
      </c>
      <c r="P83">
        <v>180</v>
      </c>
    </row>
    <row r="84" spans="1:16" hidden="1" x14ac:dyDescent="0.35">
      <c r="A84" t="s">
        <v>167</v>
      </c>
      <c r="B84" s="2">
        <v>46251</v>
      </c>
      <c r="C84" t="s">
        <v>42</v>
      </c>
      <c r="D84" t="s">
        <v>43</v>
      </c>
      <c r="E84" t="s">
        <v>44</v>
      </c>
      <c r="F84" t="s">
        <v>28</v>
      </c>
      <c r="G84" t="s">
        <v>39</v>
      </c>
      <c r="H84" t="s">
        <v>22</v>
      </c>
      <c r="I84">
        <v>1</v>
      </c>
      <c r="J84" s="3">
        <v>247000</v>
      </c>
      <c r="K84" s="3">
        <v>323200</v>
      </c>
      <c r="L84" s="3">
        <v>323200</v>
      </c>
      <c r="M84" s="3">
        <v>76200</v>
      </c>
      <c r="N84" t="s">
        <v>37</v>
      </c>
      <c r="O84" t="s">
        <v>45</v>
      </c>
      <c r="P84">
        <v>180</v>
      </c>
    </row>
    <row r="85" spans="1:16" x14ac:dyDescent="0.35">
      <c r="A85" t="s">
        <v>168</v>
      </c>
      <c r="B85" s="2">
        <v>46037</v>
      </c>
      <c r="C85" t="s">
        <v>57</v>
      </c>
      <c r="D85" t="s">
        <v>58</v>
      </c>
      <c r="E85" t="s">
        <v>49</v>
      </c>
      <c r="F85" t="s">
        <v>59</v>
      </c>
      <c r="G85" t="s">
        <v>77</v>
      </c>
      <c r="H85" t="s">
        <v>22</v>
      </c>
      <c r="I85">
        <v>-1</v>
      </c>
      <c r="J85" s="3">
        <v>98200</v>
      </c>
      <c r="K85" s="3">
        <v>110500</v>
      </c>
      <c r="L85" s="3">
        <v>-110500</v>
      </c>
      <c r="M85" s="3">
        <v>-12300</v>
      </c>
      <c r="N85" t="s">
        <v>40</v>
      </c>
      <c r="O85" t="s">
        <v>60</v>
      </c>
      <c r="P85">
        <v>90</v>
      </c>
    </row>
    <row r="86" spans="1:16" hidden="1" x14ac:dyDescent="0.35">
      <c r="A86" t="s">
        <v>169</v>
      </c>
      <c r="B86" s="2">
        <v>46250</v>
      </c>
      <c r="C86" t="s">
        <v>87</v>
      </c>
      <c r="D86" t="s">
        <v>88</v>
      </c>
      <c r="E86" t="s">
        <v>75</v>
      </c>
      <c r="F86" t="s">
        <v>76</v>
      </c>
      <c r="G86" t="s">
        <v>21</v>
      </c>
      <c r="H86" t="s">
        <v>22</v>
      </c>
      <c r="I86">
        <v>-1</v>
      </c>
      <c r="J86" s="3">
        <v>50900</v>
      </c>
      <c r="K86" s="3">
        <v>61500</v>
      </c>
      <c r="L86" s="3">
        <v>-61500</v>
      </c>
      <c r="M86" s="3">
        <v>-10600</v>
      </c>
      <c r="N86" t="s">
        <v>37</v>
      </c>
      <c r="O86" t="s">
        <v>60</v>
      </c>
      <c r="P86">
        <v>90</v>
      </c>
    </row>
    <row r="87" spans="1:16" hidden="1" x14ac:dyDescent="0.35">
      <c r="A87" t="s">
        <v>170</v>
      </c>
      <c r="B87" s="2">
        <v>46195</v>
      </c>
      <c r="C87" t="s">
        <v>47</v>
      </c>
      <c r="D87" t="s">
        <v>48</v>
      </c>
      <c r="E87" t="s">
        <v>49</v>
      </c>
      <c r="F87" t="s">
        <v>20</v>
      </c>
      <c r="G87" t="s">
        <v>21</v>
      </c>
      <c r="H87" t="s">
        <v>30</v>
      </c>
      <c r="I87">
        <v>1</v>
      </c>
      <c r="J87" s="3">
        <v>87500</v>
      </c>
      <c r="K87" s="3">
        <v>103600</v>
      </c>
      <c r="L87" s="3">
        <v>103600</v>
      </c>
      <c r="M87" s="3">
        <v>16100</v>
      </c>
      <c r="N87" t="s">
        <v>31</v>
      </c>
      <c r="O87" t="s">
        <v>24</v>
      </c>
      <c r="P87">
        <v>90</v>
      </c>
    </row>
    <row r="88" spans="1:16" hidden="1" x14ac:dyDescent="0.35">
      <c r="A88" t="s">
        <v>171</v>
      </c>
      <c r="B88" s="2">
        <v>46156</v>
      </c>
      <c r="C88" t="s">
        <v>52</v>
      </c>
      <c r="D88" t="s">
        <v>53</v>
      </c>
      <c r="E88" t="s">
        <v>54</v>
      </c>
      <c r="F88" t="s">
        <v>55</v>
      </c>
      <c r="G88" t="s">
        <v>77</v>
      </c>
      <c r="H88" t="s">
        <v>22</v>
      </c>
      <c r="I88">
        <v>1</v>
      </c>
      <c r="J88" s="3">
        <v>29800</v>
      </c>
      <c r="K88" s="3">
        <v>36700</v>
      </c>
      <c r="L88" s="3">
        <v>36700</v>
      </c>
      <c r="M88" s="3">
        <v>6900</v>
      </c>
      <c r="N88" t="s">
        <v>37</v>
      </c>
      <c r="O88" t="s">
        <v>24</v>
      </c>
      <c r="P88">
        <v>30</v>
      </c>
    </row>
    <row r="89" spans="1:16" hidden="1" x14ac:dyDescent="0.35">
      <c r="A89" t="s">
        <v>172</v>
      </c>
      <c r="B89" s="2">
        <v>46238</v>
      </c>
      <c r="C89" t="s">
        <v>73</v>
      </c>
      <c r="D89" t="s">
        <v>74</v>
      </c>
      <c r="E89" t="s">
        <v>75</v>
      </c>
      <c r="F89" t="s">
        <v>76</v>
      </c>
      <c r="G89" t="s">
        <v>39</v>
      </c>
      <c r="H89" t="s">
        <v>50</v>
      </c>
      <c r="I89">
        <v>3</v>
      </c>
      <c r="J89" s="3">
        <v>66200</v>
      </c>
      <c r="K89" s="3">
        <v>74200</v>
      </c>
      <c r="L89" s="3">
        <v>222600</v>
      </c>
      <c r="M89" s="3">
        <v>24000</v>
      </c>
      <c r="N89" t="s">
        <v>31</v>
      </c>
      <c r="O89" t="s">
        <v>45</v>
      </c>
      <c r="P89">
        <v>90</v>
      </c>
    </row>
    <row r="90" spans="1:16" hidden="1" x14ac:dyDescent="0.35">
      <c r="A90" t="s">
        <v>173</v>
      </c>
      <c r="B90" s="2">
        <v>46163</v>
      </c>
      <c r="C90" t="s">
        <v>69</v>
      </c>
      <c r="D90" t="s">
        <v>70</v>
      </c>
      <c r="E90" t="s">
        <v>75</v>
      </c>
      <c r="F90" t="s">
        <v>64</v>
      </c>
      <c r="G90" t="s">
        <v>29</v>
      </c>
      <c r="H90" t="s">
        <v>35</v>
      </c>
      <c r="I90">
        <v>2</v>
      </c>
      <c r="J90" s="3">
        <v>28200</v>
      </c>
      <c r="K90" s="3">
        <v>35100</v>
      </c>
      <c r="L90" s="3">
        <v>70200</v>
      </c>
      <c r="M90" s="3">
        <v>13800</v>
      </c>
      <c r="N90" t="s">
        <v>37</v>
      </c>
      <c r="O90" t="s">
        <v>24</v>
      </c>
      <c r="P90">
        <v>30</v>
      </c>
    </row>
    <row r="91" spans="1:16" hidden="1" x14ac:dyDescent="0.35">
      <c r="A91" t="s">
        <v>174</v>
      </c>
      <c r="B91" s="2">
        <v>46108</v>
      </c>
      <c r="C91" t="s">
        <v>87</v>
      </c>
      <c r="D91" t="s">
        <v>88</v>
      </c>
      <c r="E91" t="s">
        <v>75</v>
      </c>
      <c r="F91" t="s">
        <v>76</v>
      </c>
      <c r="G91" t="s">
        <v>77</v>
      </c>
      <c r="H91" t="s">
        <v>22</v>
      </c>
      <c r="I91">
        <v>2</v>
      </c>
      <c r="J91" s="3">
        <v>31100</v>
      </c>
      <c r="K91" s="3">
        <v>40900</v>
      </c>
      <c r="L91" s="3">
        <v>81800</v>
      </c>
      <c r="M91" s="3">
        <v>19600</v>
      </c>
      <c r="N91" t="s">
        <v>37</v>
      </c>
      <c r="O91" t="s">
        <v>24</v>
      </c>
      <c r="P91">
        <v>90</v>
      </c>
    </row>
    <row r="92" spans="1:16" hidden="1" x14ac:dyDescent="0.35">
      <c r="A92" t="s">
        <v>175</v>
      </c>
      <c r="B92" s="2">
        <v>46105</v>
      </c>
      <c r="C92" t="s">
        <v>26</v>
      </c>
      <c r="D92" t="s">
        <v>27</v>
      </c>
      <c r="E92" t="s">
        <v>19</v>
      </c>
      <c r="F92" t="s">
        <v>28</v>
      </c>
      <c r="G92" t="s">
        <v>21</v>
      </c>
      <c r="H92" t="s">
        <v>35</v>
      </c>
      <c r="I92">
        <v>1</v>
      </c>
      <c r="J92" s="3">
        <v>211500</v>
      </c>
      <c r="K92" s="3">
        <v>272500</v>
      </c>
      <c r="L92" s="3">
        <v>272500</v>
      </c>
      <c r="M92" s="3">
        <v>61000</v>
      </c>
      <c r="N92" t="s">
        <v>31</v>
      </c>
      <c r="O92" t="s">
        <v>24</v>
      </c>
      <c r="P92">
        <v>180</v>
      </c>
    </row>
    <row r="93" spans="1:16" x14ac:dyDescent="0.35">
      <c r="A93" t="s">
        <v>176</v>
      </c>
      <c r="B93" s="2">
        <v>46101</v>
      </c>
      <c r="C93" t="s">
        <v>119</v>
      </c>
      <c r="D93" t="s">
        <v>120</v>
      </c>
      <c r="E93" t="s">
        <v>54</v>
      </c>
      <c r="F93" t="s">
        <v>83</v>
      </c>
      <c r="G93" t="s">
        <v>21</v>
      </c>
      <c r="H93" t="s">
        <v>50</v>
      </c>
      <c r="I93">
        <v>-1</v>
      </c>
      <c r="J93" s="3">
        <v>30400</v>
      </c>
      <c r="K93" s="3">
        <v>40000</v>
      </c>
      <c r="L93" s="3">
        <v>-40000</v>
      </c>
      <c r="M93" s="3">
        <v>-9600</v>
      </c>
      <c r="N93" t="s">
        <v>40</v>
      </c>
      <c r="O93" t="s">
        <v>60</v>
      </c>
      <c r="P93">
        <v>30</v>
      </c>
    </row>
    <row r="94" spans="1:16" hidden="1" x14ac:dyDescent="0.35">
      <c r="A94" t="s">
        <v>177</v>
      </c>
      <c r="B94" s="2">
        <v>46163</v>
      </c>
      <c r="C94" t="s">
        <v>26</v>
      </c>
      <c r="D94" t="s">
        <v>27</v>
      </c>
      <c r="E94" t="s">
        <v>19</v>
      </c>
      <c r="F94" t="s">
        <v>28</v>
      </c>
      <c r="G94" t="s">
        <v>39</v>
      </c>
      <c r="H94" t="s">
        <v>35</v>
      </c>
      <c r="I94">
        <v>-1</v>
      </c>
      <c r="J94" s="3">
        <v>218700</v>
      </c>
      <c r="K94" s="3">
        <v>279500</v>
      </c>
      <c r="L94" s="3">
        <v>-279500</v>
      </c>
      <c r="M94" s="3">
        <v>-60800</v>
      </c>
      <c r="N94" t="s">
        <v>31</v>
      </c>
      <c r="O94" t="s">
        <v>60</v>
      </c>
      <c r="P94">
        <v>180</v>
      </c>
    </row>
    <row r="95" spans="1:16" hidden="1" x14ac:dyDescent="0.35">
      <c r="A95" t="s">
        <v>178</v>
      </c>
      <c r="B95" s="2">
        <v>46274</v>
      </c>
      <c r="C95" t="s">
        <v>104</v>
      </c>
      <c r="D95" t="s">
        <v>105</v>
      </c>
      <c r="E95" t="s">
        <v>106</v>
      </c>
      <c r="F95" t="s">
        <v>76</v>
      </c>
      <c r="G95" t="s">
        <v>77</v>
      </c>
      <c r="H95" t="s">
        <v>35</v>
      </c>
      <c r="I95">
        <v>3</v>
      </c>
      <c r="J95" s="3">
        <v>39500</v>
      </c>
      <c r="K95" s="3">
        <v>49500</v>
      </c>
      <c r="L95" s="3">
        <v>148500</v>
      </c>
      <c r="M95" s="3">
        <v>30000</v>
      </c>
      <c r="N95" t="s">
        <v>37</v>
      </c>
      <c r="O95" t="s">
        <v>45</v>
      </c>
      <c r="P95">
        <v>90</v>
      </c>
    </row>
    <row r="96" spans="1:16" hidden="1" x14ac:dyDescent="0.35">
      <c r="A96" t="s">
        <v>179</v>
      </c>
      <c r="B96" s="2">
        <v>46223</v>
      </c>
      <c r="C96" t="s">
        <v>62</v>
      </c>
      <c r="D96" t="s">
        <v>63</v>
      </c>
      <c r="E96" t="s">
        <v>54</v>
      </c>
      <c r="F96" t="s">
        <v>64</v>
      </c>
      <c r="G96" t="s">
        <v>29</v>
      </c>
      <c r="H96" t="s">
        <v>30</v>
      </c>
      <c r="I96">
        <v>5</v>
      </c>
      <c r="J96" s="3">
        <v>33100</v>
      </c>
      <c r="K96" s="3">
        <v>42800</v>
      </c>
      <c r="L96" s="3">
        <v>214000</v>
      </c>
      <c r="M96" s="3">
        <v>48500</v>
      </c>
      <c r="N96" t="s">
        <v>23</v>
      </c>
      <c r="O96" t="s">
        <v>24</v>
      </c>
      <c r="P96">
        <v>30</v>
      </c>
    </row>
    <row r="97" spans="1:16" x14ac:dyDescent="0.35">
      <c r="A97" t="s">
        <v>180</v>
      </c>
      <c r="B97" s="2">
        <v>46104</v>
      </c>
      <c r="C97" t="s">
        <v>57</v>
      </c>
      <c r="D97" t="s">
        <v>58</v>
      </c>
      <c r="E97" t="s">
        <v>49</v>
      </c>
      <c r="F97" t="s">
        <v>59</v>
      </c>
      <c r="G97" t="s">
        <v>21</v>
      </c>
      <c r="H97" t="s">
        <v>22</v>
      </c>
      <c r="I97">
        <v>3</v>
      </c>
      <c r="J97" s="3">
        <v>106000</v>
      </c>
      <c r="K97" s="3">
        <v>133700</v>
      </c>
      <c r="L97" s="3">
        <v>401100</v>
      </c>
      <c r="M97" s="3">
        <v>83100</v>
      </c>
      <c r="N97" t="s">
        <v>40</v>
      </c>
      <c r="O97" t="s">
        <v>45</v>
      </c>
      <c r="P97">
        <v>90</v>
      </c>
    </row>
    <row r="98" spans="1:16" x14ac:dyDescent="0.35">
      <c r="A98" t="s">
        <v>181</v>
      </c>
      <c r="B98" s="2">
        <v>46078</v>
      </c>
      <c r="C98" t="s">
        <v>73</v>
      </c>
      <c r="D98" t="s">
        <v>74</v>
      </c>
      <c r="E98" t="s">
        <v>75</v>
      </c>
      <c r="F98" t="s">
        <v>76</v>
      </c>
      <c r="G98" t="s">
        <v>21</v>
      </c>
      <c r="H98" t="s">
        <v>22</v>
      </c>
      <c r="I98">
        <v>1</v>
      </c>
      <c r="J98" s="3">
        <v>73300</v>
      </c>
      <c r="K98" s="3">
        <v>87000</v>
      </c>
      <c r="L98" s="3">
        <v>87000</v>
      </c>
      <c r="M98" s="3">
        <v>13700</v>
      </c>
      <c r="N98" t="s">
        <v>40</v>
      </c>
      <c r="O98" t="s">
        <v>45</v>
      </c>
      <c r="P98">
        <v>90</v>
      </c>
    </row>
    <row r="99" spans="1:16" hidden="1" x14ac:dyDescent="0.35">
      <c r="A99" t="s">
        <v>182</v>
      </c>
      <c r="B99" s="2">
        <v>46200</v>
      </c>
      <c r="C99" t="s">
        <v>119</v>
      </c>
      <c r="D99" t="s">
        <v>120</v>
      </c>
      <c r="E99" t="s">
        <v>54</v>
      </c>
      <c r="F99" t="s">
        <v>83</v>
      </c>
      <c r="G99" t="s">
        <v>21</v>
      </c>
      <c r="H99" t="s">
        <v>22</v>
      </c>
      <c r="I99">
        <v>1</v>
      </c>
      <c r="J99" s="3">
        <v>31400</v>
      </c>
      <c r="K99" s="3">
        <v>41300</v>
      </c>
      <c r="L99" s="3">
        <v>41300</v>
      </c>
      <c r="M99" s="3">
        <v>9900</v>
      </c>
      <c r="N99" t="s">
        <v>31</v>
      </c>
      <c r="O99" t="s">
        <v>24</v>
      </c>
      <c r="P99">
        <v>30</v>
      </c>
    </row>
    <row r="100" spans="1:16" hidden="1" x14ac:dyDescent="0.35">
      <c r="A100" t="s">
        <v>183</v>
      </c>
      <c r="B100" s="2">
        <v>46045</v>
      </c>
      <c r="C100" t="s">
        <v>134</v>
      </c>
      <c r="D100" t="s">
        <v>135</v>
      </c>
      <c r="E100" t="s">
        <v>106</v>
      </c>
      <c r="F100" t="s">
        <v>76</v>
      </c>
      <c r="G100" t="s">
        <v>39</v>
      </c>
      <c r="H100" t="s">
        <v>50</v>
      </c>
      <c r="I100">
        <v>2</v>
      </c>
      <c r="J100" s="3">
        <v>32100</v>
      </c>
      <c r="K100" s="3">
        <v>38000</v>
      </c>
      <c r="L100" s="3">
        <v>76000</v>
      </c>
      <c r="M100" s="3">
        <v>11800</v>
      </c>
      <c r="N100" t="s">
        <v>31</v>
      </c>
      <c r="O100" t="s">
        <v>45</v>
      </c>
      <c r="P100">
        <v>90</v>
      </c>
    </row>
    <row r="101" spans="1:16" hidden="1" x14ac:dyDescent="0.35">
      <c r="A101" t="s">
        <v>184</v>
      </c>
      <c r="B101" s="2">
        <v>46254</v>
      </c>
      <c r="C101" t="s">
        <v>66</v>
      </c>
      <c r="D101" t="s">
        <v>67</v>
      </c>
      <c r="E101" t="s">
        <v>44</v>
      </c>
      <c r="F101" t="s">
        <v>20</v>
      </c>
      <c r="G101" t="s">
        <v>29</v>
      </c>
      <c r="H101" t="s">
        <v>35</v>
      </c>
      <c r="I101">
        <v>1</v>
      </c>
      <c r="J101" s="3">
        <v>252100</v>
      </c>
      <c r="K101" s="3">
        <v>304200</v>
      </c>
      <c r="L101" s="3">
        <v>304200</v>
      </c>
      <c r="M101" s="3">
        <v>52100</v>
      </c>
      <c r="N101" t="s">
        <v>23</v>
      </c>
      <c r="O101" t="s">
        <v>24</v>
      </c>
      <c r="P101">
        <v>180</v>
      </c>
    </row>
    <row r="102" spans="1:16" x14ac:dyDescent="0.35">
      <c r="A102" t="s">
        <v>185</v>
      </c>
      <c r="B102" s="2">
        <v>46101</v>
      </c>
      <c r="C102" t="s">
        <v>101</v>
      </c>
      <c r="D102" t="s">
        <v>102</v>
      </c>
      <c r="E102" t="s">
        <v>19</v>
      </c>
      <c r="F102" t="s">
        <v>83</v>
      </c>
      <c r="G102" t="s">
        <v>29</v>
      </c>
      <c r="H102" t="s">
        <v>30</v>
      </c>
      <c r="I102">
        <v>1</v>
      </c>
      <c r="J102" s="3">
        <v>225400</v>
      </c>
      <c r="K102" s="3">
        <v>255000</v>
      </c>
      <c r="L102" s="3">
        <v>255000</v>
      </c>
      <c r="M102" s="3">
        <v>29600</v>
      </c>
      <c r="N102" t="s">
        <v>40</v>
      </c>
      <c r="O102" t="s">
        <v>45</v>
      </c>
      <c r="P102">
        <v>180</v>
      </c>
    </row>
    <row r="103" spans="1:16" hidden="1" x14ac:dyDescent="0.35">
      <c r="A103" t="s">
        <v>186</v>
      </c>
      <c r="B103" s="2">
        <v>46281</v>
      </c>
      <c r="C103" t="s">
        <v>95</v>
      </c>
      <c r="D103" t="s">
        <v>96</v>
      </c>
      <c r="E103" t="s">
        <v>19</v>
      </c>
      <c r="F103" t="s">
        <v>28</v>
      </c>
      <c r="G103" t="s">
        <v>29</v>
      </c>
      <c r="H103" t="s">
        <v>50</v>
      </c>
      <c r="I103">
        <v>1</v>
      </c>
      <c r="J103" s="3">
        <v>204500</v>
      </c>
      <c r="K103" s="3">
        <v>254000</v>
      </c>
      <c r="L103" s="3">
        <v>254000</v>
      </c>
      <c r="M103" s="3">
        <v>49500</v>
      </c>
      <c r="N103" t="s">
        <v>37</v>
      </c>
      <c r="O103" t="s">
        <v>24</v>
      </c>
      <c r="P103">
        <v>180</v>
      </c>
    </row>
    <row r="104" spans="1:16" hidden="1" x14ac:dyDescent="0.35">
      <c r="A104" t="s">
        <v>187</v>
      </c>
      <c r="B104" s="2">
        <v>46174</v>
      </c>
      <c r="C104" t="s">
        <v>81</v>
      </c>
      <c r="D104" t="s">
        <v>82</v>
      </c>
      <c r="E104" t="s">
        <v>44</v>
      </c>
      <c r="F104" t="s">
        <v>83</v>
      </c>
      <c r="G104" t="s">
        <v>29</v>
      </c>
      <c r="H104" t="s">
        <v>22</v>
      </c>
      <c r="I104">
        <v>3</v>
      </c>
      <c r="J104" s="3">
        <v>220600</v>
      </c>
      <c r="K104" s="3">
        <v>276500</v>
      </c>
      <c r="L104" s="3">
        <v>829500</v>
      </c>
      <c r="M104" s="3">
        <v>167700</v>
      </c>
      <c r="N104" t="s">
        <v>37</v>
      </c>
      <c r="O104" t="s">
        <v>45</v>
      </c>
      <c r="P104">
        <v>180</v>
      </c>
    </row>
    <row r="105" spans="1:16" hidden="1" x14ac:dyDescent="0.35">
      <c r="A105" t="s">
        <v>188</v>
      </c>
      <c r="B105" s="2">
        <v>46260</v>
      </c>
      <c r="C105" t="s">
        <v>47</v>
      </c>
      <c r="D105" t="s">
        <v>48</v>
      </c>
      <c r="E105" t="s">
        <v>49</v>
      </c>
      <c r="F105" t="s">
        <v>20</v>
      </c>
      <c r="G105" t="s">
        <v>77</v>
      </c>
      <c r="H105" t="s">
        <v>50</v>
      </c>
      <c r="I105">
        <v>4</v>
      </c>
      <c r="J105" s="3">
        <v>119300</v>
      </c>
      <c r="K105" s="3">
        <v>140800</v>
      </c>
      <c r="L105" s="3">
        <v>563200</v>
      </c>
      <c r="M105" s="3">
        <v>86000</v>
      </c>
      <c r="N105" t="s">
        <v>37</v>
      </c>
      <c r="O105" t="s">
        <v>24</v>
      </c>
      <c r="P105">
        <v>90</v>
      </c>
    </row>
    <row r="106" spans="1:16" hidden="1" x14ac:dyDescent="0.35">
      <c r="A106" t="s">
        <v>189</v>
      </c>
      <c r="B106" s="2">
        <v>46178</v>
      </c>
      <c r="C106" t="s">
        <v>87</v>
      </c>
      <c r="D106" t="s">
        <v>88</v>
      </c>
      <c r="E106" t="s">
        <v>75</v>
      </c>
      <c r="F106" t="s">
        <v>76</v>
      </c>
      <c r="G106" t="s">
        <v>39</v>
      </c>
      <c r="H106" t="s">
        <v>30</v>
      </c>
      <c r="I106">
        <v>1</v>
      </c>
      <c r="J106" s="3">
        <v>30300</v>
      </c>
      <c r="K106" s="3">
        <v>36200</v>
      </c>
      <c r="L106" s="3">
        <v>36200</v>
      </c>
      <c r="M106" s="3">
        <v>5900</v>
      </c>
      <c r="N106" t="s">
        <v>31</v>
      </c>
      <c r="O106" t="s">
        <v>24</v>
      </c>
      <c r="P106">
        <v>90</v>
      </c>
    </row>
    <row r="107" spans="1:16" hidden="1" x14ac:dyDescent="0.35">
      <c r="A107" t="s">
        <v>190</v>
      </c>
      <c r="B107" s="2">
        <v>46281</v>
      </c>
      <c r="C107" t="s">
        <v>33</v>
      </c>
      <c r="D107" t="s">
        <v>34</v>
      </c>
      <c r="E107" t="s">
        <v>19</v>
      </c>
      <c r="F107" t="s">
        <v>20</v>
      </c>
      <c r="G107" t="s">
        <v>77</v>
      </c>
      <c r="H107" t="s">
        <v>50</v>
      </c>
      <c r="I107">
        <v>2</v>
      </c>
      <c r="J107" s="3">
        <v>259200</v>
      </c>
      <c r="K107" s="3">
        <v>325900</v>
      </c>
      <c r="L107" s="3">
        <v>651800</v>
      </c>
      <c r="M107" s="3">
        <v>133400</v>
      </c>
      <c r="N107" t="s">
        <v>31</v>
      </c>
      <c r="O107" t="s">
        <v>24</v>
      </c>
      <c r="P107">
        <v>180</v>
      </c>
    </row>
    <row r="108" spans="1:16" hidden="1" x14ac:dyDescent="0.35">
      <c r="A108" t="s">
        <v>191</v>
      </c>
      <c r="B108" s="2">
        <v>46076</v>
      </c>
      <c r="C108" t="s">
        <v>66</v>
      </c>
      <c r="D108" t="s">
        <v>67</v>
      </c>
      <c r="E108" t="s">
        <v>44</v>
      </c>
      <c r="F108" t="s">
        <v>20</v>
      </c>
      <c r="G108" t="s">
        <v>39</v>
      </c>
      <c r="H108" t="s">
        <v>35</v>
      </c>
      <c r="I108">
        <v>2</v>
      </c>
      <c r="J108" s="3">
        <v>240000</v>
      </c>
      <c r="K108" s="3">
        <v>298600</v>
      </c>
      <c r="L108" s="3">
        <v>597200</v>
      </c>
      <c r="M108" s="3">
        <v>117200</v>
      </c>
      <c r="N108" t="s">
        <v>37</v>
      </c>
      <c r="O108" t="s">
        <v>24</v>
      </c>
      <c r="P108">
        <v>180</v>
      </c>
    </row>
    <row r="109" spans="1:16" x14ac:dyDescent="0.35">
      <c r="A109" t="s">
        <v>192</v>
      </c>
      <c r="B109" s="2">
        <v>46194</v>
      </c>
      <c r="C109" t="s">
        <v>101</v>
      </c>
      <c r="D109" t="s">
        <v>102</v>
      </c>
      <c r="E109" t="s">
        <v>19</v>
      </c>
      <c r="F109" t="s">
        <v>83</v>
      </c>
      <c r="G109" t="s">
        <v>21</v>
      </c>
      <c r="H109" t="s">
        <v>50</v>
      </c>
      <c r="I109">
        <v>1</v>
      </c>
      <c r="J109" s="3">
        <v>261100</v>
      </c>
      <c r="K109" s="3">
        <v>330700</v>
      </c>
      <c r="L109" s="3">
        <v>330700</v>
      </c>
      <c r="M109" s="3">
        <v>69600</v>
      </c>
      <c r="N109" t="s">
        <v>40</v>
      </c>
      <c r="O109" t="s">
        <v>24</v>
      </c>
      <c r="P109">
        <v>180</v>
      </c>
    </row>
    <row r="110" spans="1:16" hidden="1" x14ac:dyDescent="0.35">
      <c r="A110" t="s">
        <v>193</v>
      </c>
      <c r="B110" s="2">
        <v>46166</v>
      </c>
      <c r="C110" t="s">
        <v>111</v>
      </c>
      <c r="D110" t="s">
        <v>112</v>
      </c>
      <c r="E110" t="s">
        <v>19</v>
      </c>
      <c r="F110" t="s">
        <v>83</v>
      </c>
      <c r="G110" t="s">
        <v>29</v>
      </c>
      <c r="H110" t="s">
        <v>35</v>
      </c>
      <c r="I110">
        <v>-1</v>
      </c>
      <c r="J110" s="3">
        <v>290100</v>
      </c>
      <c r="K110" s="3">
        <v>375800</v>
      </c>
      <c r="L110" s="3">
        <v>-375800</v>
      </c>
      <c r="M110" s="3">
        <v>-85700</v>
      </c>
      <c r="N110" t="s">
        <v>37</v>
      </c>
      <c r="O110" t="s">
        <v>60</v>
      </c>
      <c r="P110">
        <v>180</v>
      </c>
    </row>
    <row r="111" spans="1:16" hidden="1" x14ac:dyDescent="0.35">
      <c r="A111" t="s">
        <v>194</v>
      </c>
      <c r="B111" s="2">
        <v>46099</v>
      </c>
      <c r="C111" t="s">
        <v>42</v>
      </c>
      <c r="D111" t="s">
        <v>43</v>
      </c>
      <c r="E111" t="s">
        <v>44</v>
      </c>
      <c r="F111" t="s">
        <v>28</v>
      </c>
      <c r="G111" t="s">
        <v>29</v>
      </c>
      <c r="H111" t="s">
        <v>30</v>
      </c>
      <c r="I111">
        <v>1</v>
      </c>
      <c r="J111" s="3">
        <v>252100</v>
      </c>
      <c r="K111" s="3">
        <v>299400</v>
      </c>
      <c r="L111" s="3">
        <v>299400</v>
      </c>
      <c r="M111" s="3">
        <v>47300</v>
      </c>
      <c r="N111" t="s">
        <v>31</v>
      </c>
      <c r="O111" t="s">
        <v>24</v>
      </c>
      <c r="P111">
        <v>180</v>
      </c>
    </row>
    <row r="112" spans="1:16" hidden="1" x14ac:dyDescent="0.35">
      <c r="A112" t="s">
        <v>195</v>
      </c>
      <c r="B112" s="2">
        <v>46215</v>
      </c>
      <c r="C112" t="s">
        <v>26</v>
      </c>
      <c r="D112" t="s">
        <v>27</v>
      </c>
      <c r="E112" t="s">
        <v>19</v>
      </c>
      <c r="F112" t="s">
        <v>28</v>
      </c>
      <c r="G112" t="s">
        <v>77</v>
      </c>
      <c r="H112" t="s">
        <v>30</v>
      </c>
      <c r="I112">
        <v>1</v>
      </c>
      <c r="J112" s="3">
        <v>290700</v>
      </c>
      <c r="K112" s="3">
        <v>326400</v>
      </c>
      <c r="L112" s="3">
        <v>326400</v>
      </c>
      <c r="M112" s="3">
        <v>35700</v>
      </c>
      <c r="N112" t="s">
        <v>31</v>
      </c>
      <c r="O112" t="s">
        <v>45</v>
      </c>
      <c r="P112">
        <v>180</v>
      </c>
    </row>
    <row r="113" spans="1:16" hidden="1" x14ac:dyDescent="0.35">
      <c r="A113" t="s">
        <v>196</v>
      </c>
      <c r="B113" s="2">
        <v>46194</v>
      </c>
      <c r="C113" t="s">
        <v>17</v>
      </c>
      <c r="D113" t="s">
        <v>18</v>
      </c>
      <c r="E113" t="s">
        <v>19</v>
      </c>
      <c r="F113" t="s">
        <v>20</v>
      </c>
      <c r="G113" t="s">
        <v>29</v>
      </c>
      <c r="H113" t="s">
        <v>22</v>
      </c>
      <c r="I113">
        <v>-2</v>
      </c>
      <c r="J113" s="3">
        <v>274500</v>
      </c>
      <c r="K113" s="3">
        <v>333300</v>
      </c>
      <c r="L113" s="3">
        <v>-666600</v>
      </c>
      <c r="M113" s="3">
        <v>-117600</v>
      </c>
      <c r="N113" t="s">
        <v>37</v>
      </c>
      <c r="O113" t="s">
        <v>60</v>
      </c>
      <c r="P113">
        <v>180</v>
      </c>
    </row>
    <row r="114" spans="1:16" hidden="1" x14ac:dyDescent="0.35">
      <c r="A114" t="s">
        <v>197</v>
      </c>
      <c r="B114" s="2">
        <v>46182</v>
      </c>
      <c r="C114" t="s">
        <v>42</v>
      </c>
      <c r="D114" t="s">
        <v>43</v>
      </c>
      <c r="E114" t="s">
        <v>44</v>
      </c>
      <c r="F114" t="s">
        <v>28</v>
      </c>
      <c r="G114" t="s">
        <v>21</v>
      </c>
      <c r="H114" t="s">
        <v>22</v>
      </c>
      <c r="I114">
        <v>1</v>
      </c>
      <c r="J114" s="3">
        <v>241400</v>
      </c>
      <c r="K114" s="3">
        <v>276000</v>
      </c>
      <c r="L114" s="3">
        <v>276000</v>
      </c>
      <c r="M114" s="3">
        <v>34600</v>
      </c>
      <c r="N114" t="s">
        <v>23</v>
      </c>
      <c r="O114" t="s">
        <v>24</v>
      </c>
      <c r="P114">
        <v>180</v>
      </c>
    </row>
    <row r="115" spans="1:16" hidden="1" x14ac:dyDescent="0.35">
      <c r="A115" t="s">
        <v>198</v>
      </c>
      <c r="B115" s="2">
        <v>46241</v>
      </c>
      <c r="C115" t="s">
        <v>66</v>
      </c>
      <c r="D115" t="s">
        <v>67</v>
      </c>
      <c r="E115" t="s">
        <v>44</v>
      </c>
      <c r="F115" t="s">
        <v>20</v>
      </c>
      <c r="G115" t="s">
        <v>29</v>
      </c>
      <c r="H115" t="s">
        <v>30</v>
      </c>
      <c r="I115">
        <v>-1</v>
      </c>
      <c r="J115" s="3">
        <v>267600</v>
      </c>
      <c r="K115" s="3">
        <v>307000</v>
      </c>
      <c r="L115" s="3">
        <v>-307000</v>
      </c>
      <c r="M115" s="3">
        <v>-39400</v>
      </c>
      <c r="N115" t="s">
        <v>23</v>
      </c>
      <c r="O115" t="s">
        <v>60</v>
      </c>
      <c r="P115">
        <v>180</v>
      </c>
    </row>
    <row r="116" spans="1:16" x14ac:dyDescent="0.35">
      <c r="A116" t="s">
        <v>199</v>
      </c>
      <c r="B116" s="2">
        <v>46138</v>
      </c>
      <c r="C116" t="s">
        <v>87</v>
      </c>
      <c r="D116" t="s">
        <v>88</v>
      </c>
      <c r="E116" t="s">
        <v>75</v>
      </c>
      <c r="F116" t="s">
        <v>76</v>
      </c>
      <c r="G116" t="s">
        <v>21</v>
      </c>
      <c r="H116" t="s">
        <v>30</v>
      </c>
      <c r="I116">
        <v>1</v>
      </c>
      <c r="J116" s="3">
        <v>55800</v>
      </c>
      <c r="K116" s="3">
        <v>73000</v>
      </c>
      <c r="L116" s="3">
        <v>73000</v>
      </c>
      <c r="M116" s="3">
        <v>17200</v>
      </c>
      <c r="N116" t="s">
        <v>40</v>
      </c>
      <c r="O116" t="s">
        <v>24</v>
      </c>
      <c r="P116">
        <v>90</v>
      </c>
    </row>
    <row r="117" spans="1:16" x14ac:dyDescent="0.35">
      <c r="A117" t="s">
        <v>200</v>
      </c>
      <c r="B117" s="2">
        <v>46058</v>
      </c>
      <c r="C117" t="s">
        <v>47</v>
      </c>
      <c r="D117" t="s">
        <v>48</v>
      </c>
      <c r="E117" t="s">
        <v>49</v>
      </c>
      <c r="F117" t="s">
        <v>20</v>
      </c>
      <c r="G117" t="s">
        <v>21</v>
      </c>
      <c r="H117" t="s">
        <v>35</v>
      </c>
      <c r="I117">
        <v>1</v>
      </c>
      <c r="J117" s="3">
        <v>70500</v>
      </c>
      <c r="K117" s="3">
        <v>88600</v>
      </c>
      <c r="L117" s="3">
        <v>88600</v>
      </c>
      <c r="M117" s="3">
        <v>18100</v>
      </c>
      <c r="N117" t="s">
        <v>40</v>
      </c>
      <c r="O117" t="s">
        <v>24</v>
      </c>
      <c r="P117">
        <v>90</v>
      </c>
    </row>
    <row r="118" spans="1:16" x14ac:dyDescent="0.35">
      <c r="A118" t="s">
        <v>201</v>
      </c>
      <c r="B118" s="2">
        <v>46037</v>
      </c>
      <c r="C118" t="s">
        <v>17</v>
      </c>
      <c r="D118" t="s">
        <v>18</v>
      </c>
      <c r="E118" t="s">
        <v>19</v>
      </c>
      <c r="F118" t="s">
        <v>20</v>
      </c>
      <c r="G118" t="s">
        <v>39</v>
      </c>
      <c r="H118" t="s">
        <v>35</v>
      </c>
      <c r="I118">
        <v>1</v>
      </c>
      <c r="J118" s="3">
        <v>312900</v>
      </c>
      <c r="K118" s="3">
        <v>402000</v>
      </c>
      <c r="L118" s="3">
        <v>402000</v>
      </c>
      <c r="M118" s="3">
        <v>89100</v>
      </c>
      <c r="N118" t="s">
        <v>40</v>
      </c>
      <c r="O118" t="s">
        <v>24</v>
      </c>
      <c r="P118">
        <v>180</v>
      </c>
    </row>
    <row r="119" spans="1:16" hidden="1" x14ac:dyDescent="0.35">
      <c r="A119" t="s">
        <v>202</v>
      </c>
      <c r="B119" s="2">
        <v>46133</v>
      </c>
      <c r="C119" t="s">
        <v>111</v>
      </c>
      <c r="D119" t="s">
        <v>112</v>
      </c>
      <c r="E119" t="s">
        <v>19</v>
      </c>
      <c r="F119" t="s">
        <v>83</v>
      </c>
      <c r="G119" t="s">
        <v>29</v>
      </c>
      <c r="H119" t="s">
        <v>50</v>
      </c>
      <c r="I119">
        <v>-3</v>
      </c>
      <c r="J119" s="3">
        <v>290200</v>
      </c>
      <c r="K119" s="3">
        <v>336900</v>
      </c>
      <c r="L119" s="3">
        <v>-1010700</v>
      </c>
      <c r="M119" s="3">
        <v>-140100</v>
      </c>
      <c r="N119" t="s">
        <v>31</v>
      </c>
      <c r="O119" t="s">
        <v>60</v>
      </c>
      <c r="P119">
        <v>180</v>
      </c>
    </row>
    <row r="120" spans="1:16" hidden="1" x14ac:dyDescent="0.35">
      <c r="A120" t="s">
        <v>203</v>
      </c>
      <c r="B120" s="2">
        <v>46093</v>
      </c>
      <c r="C120" t="s">
        <v>111</v>
      </c>
      <c r="D120" t="s">
        <v>112</v>
      </c>
      <c r="E120" t="s">
        <v>19</v>
      </c>
      <c r="F120" t="s">
        <v>83</v>
      </c>
      <c r="G120" t="s">
        <v>77</v>
      </c>
      <c r="H120" t="s">
        <v>50</v>
      </c>
      <c r="I120">
        <v>1</v>
      </c>
      <c r="J120" s="3">
        <v>290400</v>
      </c>
      <c r="K120" s="3">
        <v>359900</v>
      </c>
      <c r="L120" s="3">
        <v>359900</v>
      </c>
      <c r="M120" s="3">
        <v>69500</v>
      </c>
      <c r="N120" t="s">
        <v>23</v>
      </c>
      <c r="O120" t="s">
        <v>24</v>
      </c>
      <c r="P120">
        <v>180</v>
      </c>
    </row>
    <row r="121" spans="1:16" hidden="1" x14ac:dyDescent="0.35">
      <c r="A121" t="s">
        <v>204</v>
      </c>
      <c r="B121" s="2">
        <v>46192</v>
      </c>
      <c r="C121" t="s">
        <v>33</v>
      </c>
      <c r="D121" t="s">
        <v>34</v>
      </c>
      <c r="E121" t="s">
        <v>19</v>
      </c>
      <c r="F121" t="s">
        <v>20</v>
      </c>
      <c r="G121" t="s">
        <v>39</v>
      </c>
      <c r="H121" t="s">
        <v>50</v>
      </c>
      <c r="I121">
        <v>-2</v>
      </c>
      <c r="J121" s="3">
        <v>198500</v>
      </c>
      <c r="K121" s="3">
        <v>236500</v>
      </c>
      <c r="L121" s="3">
        <v>-473000</v>
      </c>
      <c r="M121" s="3">
        <v>-76000</v>
      </c>
      <c r="N121" t="s">
        <v>31</v>
      </c>
      <c r="O121" t="s">
        <v>60</v>
      </c>
      <c r="P121">
        <v>180</v>
      </c>
    </row>
    <row r="122" spans="1:16" hidden="1" x14ac:dyDescent="0.35">
      <c r="A122" t="s">
        <v>205</v>
      </c>
      <c r="B122" s="2">
        <v>46270</v>
      </c>
      <c r="C122" t="s">
        <v>101</v>
      </c>
      <c r="D122" t="s">
        <v>102</v>
      </c>
      <c r="E122" t="s">
        <v>19</v>
      </c>
      <c r="F122" t="s">
        <v>83</v>
      </c>
      <c r="G122" t="s">
        <v>21</v>
      </c>
      <c r="H122" t="s">
        <v>35</v>
      </c>
      <c r="I122">
        <v>1</v>
      </c>
      <c r="J122" s="3">
        <v>197700</v>
      </c>
      <c r="K122" s="3">
        <v>238100</v>
      </c>
      <c r="L122" s="3">
        <v>238100</v>
      </c>
      <c r="M122" s="3">
        <v>40400</v>
      </c>
      <c r="N122" t="s">
        <v>23</v>
      </c>
      <c r="O122" t="s">
        <v>24</v>
      </c>
      <c r="P122">
        <v>180</v>
      </c>
    </row>
    <row r="123" spans="1:16" hidden="1" x14ac:dyDescent="0.35">
      <c r="A123" t="s">
        <v>206</v>
      </c>
      <c r="B123" s="2">
        <v>46181</v>
      </c>
      <c r="C123" t="s">
        <v>62</v>
      </c>
      <c r="D123" t="s">
        <v>63</v>
      </c>
      <c r="E123" t="s">
        <v>54</v>
      </c>
      <c r="F123" t="s">
        <v>64</v>
      </c>
      <c r="G123" t="s">
        <v>21</v>
      </c>
      <c r="H123" t="s">
        <v>22</v>
      </c>
      <c r="I123">
        <v>-1</v>
      </c>
      <c r="J123" s="3">
        <v>21100</v>
      </c>
      <c r="K123" s="3">
        <v>27600</v>
      </c>
      <c r="L123" s="3">
        <v>-27600</v>
      </c>
      <c r="M123" s="3">
        <v>-6500</v>
      </c>
      <c r="N123" t="s">
        <v>23</v>
      </c>
      <c r="O123" t="s">
        <v>60</v>
      </c>
      <c r="P123">
        <v>30</v>
      </c>
    </row>
    <row r="124" spans="1:16" x14ac:dyDescent="0.35">
      <c r="A124" t="s">
        <v>207</v>
      </c>
      <c r="B124" s="2">
        <v>46064</v>
      </c>
      <c r="C124" t="s">
        <v>87</v>
      </c>
      <c r="D124" t="s">
        <v>88</v>
      </c>
      <c r="E124" t="s">
        <v>75</v>
      </c>
      <c r="F124" t="s">
        <v>76</v>
      </c>
      <c r="G124" t="s">
        <v>39</v>
      </c>
      <c r="H124" t="s">
        <v>35</v>
      </c>
      <c r="I124">
        <v>1</v>
      </c>
      <c r="J124" s="3">
        <v>67400</v>
      </c>
      <c r="K124" s="3">
        <v>81200</v>
      </c>
      <c r="L124" s="3">
        <v>81200</v>
      </c>
      <c r="M124" s="3">
        <v>13800</v>
      </c>
      <c r="N124" t="s">
        <v>40</v>
      </c>
      <c r="O124" t="s">
        <v>45</v>
      </c>
      <c r="P124">
        <v>90</v>
      </c>
    </row>
    <row r="125" spans="1:16" hidden="1" x14ac:dyDescent="0.35">
      <c r="A125" t="s">
        <v>208</v>
      </c>
      <c r="B125" s="2">
        <v>46222</v>
      </c>
      <c r="C125" t="s">
        <v>26</v>
      </c>
      <c r="D125" t="s">
        <v>27</v>
      </c>
      <c r="E125" t="s">
        <v>19</v>
      </c>
      <c r="F125" t="s">
        <v>28</v>
      </c>
      <c r="G125" t="s">
        <v>77</v>
      </c>
      <c r="H125" t="s">
        <v>30</v>
      </c>
      <c r="I125">
        <v>2</v>
      </c>
      <c r="J125" s="3">
        <v>197700</v>
      </c>
      <c r="K125" s="3">
        <v>246100</v>
      </c>
      <c r="L125" s="3">
        <v>492200</v>
      </c>
      <c r="M125" s="3">
        <v>96800</v>
      </c>
      <c r="N125" t="s">
        <v>37</v>
      </c>
      <c r="O125" t="s">
        <v>24</v>
      </c>
      <c r="P125">
        <v>180</v>
      </c>
    </row>
    <row r="126" spans="1:16" x14ac:dyDescent="0.35">
      <c r="A126" t="s">
        <v>209</v>
      </c>
      <c r="B126" s="2">
        <v>46137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30</v>
      </c>
      <c r="I126">
        <v>-2</v>
      </c>
      <c r="J126" s="3">
        <v>291000</v>
      </c>
      <c r="K126" s="3">
        <v>332600</v>
      </c>
      <c r="L126" s="3">
        <v>-665200</v>
      </c>
      <c r="M126" s="3">
        <v>-83200</v>
      </c>
      <c r="N126" t="s">
        <v>40</v>
      </c>
      <c r="O126" t="s">
        <v>60</v>
      </c>
      <c r="P126">
        <v>180</v>
      </c>
    </row>
    <row r="127" spans="1:16" hidden="1" x14ac:dyDescent="0.35">
      <c r="A127" t="s">
        <v>210</v>
      </c>
      <c r="B127" s="2">
        <v>46187</v>
      </c>
      <c r="C127" t="s">
        <v>119</v>
      </c>
      <c r="D127" t="s">
        <v>120</v>
      </c>
      <c r="E127" t="s">
        <v>54</v>
      </c>
      <c r="F127" t="s">
        <v>83</v>
      </c>
      <c r="G127" t="s">
        <v>21</v>
      </c>
      <c r="H127" t="s">
        <v>35</v>
      </c>
      <c r="I127">
        <v>1</v>
      </c>
      <c r="J127" s="3">
        <v>16500</v>
      </c>
      <c r="K127" s="3">
        <v>20000</v>
      </c>
      <c r="L127" s="3">
        <v>20000</v>
      </c>
      <c r="M127" s="3">
        <v>3500</v>
      </c>
      <c r="N127" t="s">
        <v>31</v>
      </c>
      <c r="O127" t="s">
        <v>24</v>
      </c>
      <c r="P127">
        <v>30</v>
      </c>
    </row>
    <row r="128" spans="1:16" hidden="1" x14ac:dyDescent="0.35">
      <c r="A128" t="s">
        <v>211</v>
      </c>
      <c r="B128" s="2">
        <v>46070</v>
      </c>
      <c r="C128" t="s">
        <v>47</v>
      </c>
      <c r="D128" t="s">
        <v>48</v>
      </c>
      <c r="E128" t="s">
        <v>49</v>
      </c>
      <c r="F128" t="s">
        <v>20</v>
      </c>
      <c r="G128" t="s">
        <v>39</v>
      </c>
      <c r="H128" t="s">
        <v>30</v>
      </c>
      <c r="I128">
        <v>1</v>
      </c>
      <c r="J128" s="3">
        <v>117400</v>
      </c>
      <c r="K128" s="3">
        <v>147600</v>
      </c>
      <c r="L128" s="3">
        <v>147600</v>
      </c>
      <c r="M128" s="3">
        <v>30200</v>
      </c>
      <c r="N128" t="s">
        <v>23</v>
      </c>
      <c r="O128" t="s">
        <v>24</v>
      </c>
      <c r="P128">
        <v>90</v>
      </c>
    </row>
    <row r="129" spans="1:16" hidden="1" x14ac:dyDescent="0.35">
      <c r="A129" t="s">
        <v>212</v>
      </c>
      <c r="B129" s="2">
        <v>46195</v>
      </c>
      <c r="C129" t="s">
        <v>47</v>
      </c>
      <c r="D129" t="s">
        <v>48</v>
      </c>
      <c r="E129" t="s">
        <v>49</v>
      </c>
      <c r="F129" t="s">
        <v>20</v>
      </c>
      <c r="G129" t="s">
        <v>39</v>
      </c>
      <c r="H129" t="s">
        <v>30</v>
      </c>
      <c r="I129">
        <v>-2</v>
      </c>
      <c r="J129" s="3">
        <v>109600</v>
      </c>
      <c r="K129" s="3">
        <v>134900</v>
      </c>
      <c r="L129" s="3">
        <v>-269800</v>
      </c>
      <c r="M129" s="3">
        <v>-50600</v>
      </c>
      <c r="N129" t="s">
        <v>31</v>
      </c>
      <c r="O129" t="s">
        <v>60</v>
      </c>
      <c r="P129">
        <v>90</v>
      </c>
    </row>
    <row r="130" spans="1:16" x14ac:dyDescent="0.35">
      <c r="A130" t="s">
        <v>213</v>
      </c>
      <c r="B130" s="2">
        <v>46186</v>
      </c>
      <c r="C130" t="s">
        <v>119</v>
      </c>
      <c r="D130" t="s">
        <v>120</v>
      </c>
      <c r="E130" t="s">
        <v>54</v>
      </c>
      <c r="F130" t="s">
        <v>83</v>
      </c>
      <c r="G130" t="s">
        <v>77</v>
      </c>
      <c r="H130" t="s">
        <v>22</v>
      </c>
      <c r="I130">
        <v>-4</v>
      </c>
      <c r="J130" s="3">
        <v>31300</v>
      </c>
      <c r="K130" s="3">
        <v>39600</v>
      </c>
      <c r="L130" s="3">
        <v>-158400</v>
      </c>
      <c r="M130" s="3">
        <v>-33200</v>
      </c>
      <c r="N130" t="s">
        <v>40</v>
      </c>
      <c r="O130" t="s">
        <v>60</v>
      </c>
      <c r="P130">
        <v>30</v>
      </c>
    </row>
    <row r="131" spans="1:16" x14ac:dyDescent="0.35">
      <c r="A131" t="s">
        <v>214</v>
      </c>
      <c r="B131" s="2">
        <v>46215</v>
      </c>
      <c r="C131" t="s">
        <v>111</v>
      </c>
      <c r="D131" t="s">
        <v>112</v>
      </c>
      <c r="E131" t="s">
        <v>19</v>
      </c>
      <c r="F131" t="s">
        <v>83</v>
      </c>
      <c r="G131" t="s">
        <v>39</v>
      </c>
      <c r="H131" t="s">
        <v>35</v>
      </c>
      <c r="I131">
        <v>-1</v>
      </c>
      <c r="J131" s="3">
        <v>271900</v>
      </c>
      <c r="K131" s="3">
        <v>316700</v>
      </c>
      <c r="L131" s="3">
        <v>-316700</v>
      </c>
      <c r="M131" s="3">
        <v>-44800</v>
      </c>
      <c r="N131" t="s">
        <v>40</v>
      </c>
      <c r="O131" t="s">
        <v>60</v>
      </c>
      <c r="P131">
        <v>180</v>
      </c>
    </row>
    <row r="132" spans="1:16" x14ac:dyDescent="0.35">
      <c r="A132" t="s">
        <v>215</v>
      </c>
      <c r="B132" s="2">
        <v>46040</v>
      </c>
      <c r="C132" t="s">
        <v>119</v>
      </c>
      <c r="D132" t="s">
        <v>120</v>
      </c>
      <c r="E132" t="s">
        <v>54</v>
      </c>
      <c r="F132" t="s">
        <v>83</v>
      </c>
      <c r="G132" t="s">
        <v>77</v>
      </c>
      <c r="H132" t="s">
        <v>22</v>
      </c>
      <c r="I132">
        <v>-3</v>
      </c>
      <c r="J132" s="3">
        <v>30700</v>
      </c>
      <c r="K132" s="3">
        <v>40400</v>
      </c>
      <c r="L132" s="3">
        <v>-121200</v>
      </c>
      <c r="M132" s="3">
        <v>-29100</v>
      </c>
      <c r="N132" t="s">
        <v>40</v>
      </c>
      <c r="O132" t="s">
        <v>60</v>
      </c>
      <c r="P132">
        <v>30</v>
      </c>
    </row>
    <row r="133" spans="1:16" hidden="1" x14ac:dyDescent="0.35">
      <c r="A133" t="s">
        <v>216</v>
      </c>
      <c r="B133" s="2">
        <v>46119</v>
      </c>
      <c r="C133" t="s">
        <v>81</v>
      </c>
      <c r="D133" t="s">
        <v>82</v>
      </c>
      <c r="E133" t="s">
        <v>44</v>
      </c>
      <c r="F133" t="s">
        <v>83</v>
      </c>
      <c r="G133" t="s">
        <v>29</v>
      </c>
      <c r="H133" t="s">
        <v>30</v>
      </c>
      <c r="I133">
        <v>1</v>
      </c>
      <c r="J133" s="3">
        <v>247300</v>
      </c>
      <c r="K133" s="3">
        <v>292300</v>
      </c>
      <c r="L133" s="3">
        <v>292300</v>
      </c>
      <c r="M133" s="3">
        <v>45000</v>
      </c>
      <c r="N133" t="s">
        <v>23</v>
      </c>
      <c r="O133" t="s">
        <v>24</v>
      </c>
      <c r="P133">
        <v>180</v>
      </c>
    </row>
    <row r="134" spans="1:16" hidden="1" x14ac:dyDescent="0.35">
      <c r="A134" t="s">
        <v>217</v>
      </c>
      <c r="B134" s="2">
        <v>46137</v>
      </c>
      <c r="C134" t="s">
        <v>111</v>
      </c>
      <c r="D134" t="s">
        <v>112</v>
      </c>
      <c r="E134" t="s">
        <v>19</v>
      </c>
      <c r="F134" t="s">
        <v>83</v>
      </c>
      <c r="G134" t="s">
        <v>21</v>
      </c>
      <c r="H134" t="s">
        <v>30</v>
      </c>
      <c r="I134">
        <v>-1</v>
      </c>
      <c r="J134" s="3">
        <v>283700</v>
      </c>
      <c r="K134" s="3">
        <v>372900</v>
      </c>
      <c r="L134" s="3">
        <v>-372900</v>
      </c>
      <c r="M134" s="3">
        <v>-89200</v>
      </c>
      <c r="N134" t="s">
        <v>37</v>
      </c>
      <c r="O134" t="s">
        <v>60</v>
      </c>
      <c r="P134">
        <v>180</v>
      </c>
    </row>
    <row r="135" spans="1:16" x14ac:dyDescent="0.35">
      <c r="A135" t="s">
        <v>218</v>
      </c>
      <c r="B135" s="2">
        <v>46070</v>
      </c>
      <c r="C135" t="s">
        <v>57</v>
      </c>
      <c r="D135" t="s">
        <v>58</v>
      </c>
      <c r="E135" t="s">
        <v>49</v>
      </c>
      <c r="F135" t="s">
        <v>59</v>
      </c>
      <c r="G135" t="s">
        <v>39</v>
      </c>
      <c r="H135" t="s">
        <v>50</v>
      </c>
      <c r="I135">
        <v>-1</v>
      </c>
      <c r="J135" s="3">
        <v>73700</v>
      </c>
      <c r="K135" s="3">
        <v>87100</v>
      </c>
      <c r="L135" s="3">
        <v>-87100</v>
      </c>
      <c r="M135" s="3">
        <v>-13400</v>
      </c>
      <c r="N135" t="s">
        <v>40</v>
      </c>
      <c r="O135" t="s">
        <v>60</v>
      </c>
      <c r="P135">
        <v>90</v>
      </c>
    </row>
    <row r="136" spans="1:16" hidden="1" x14ac:dyDescent="0.35">
      <c r="A136" t="s">
        <v>219</v>
      </c>
      <c r="B136" s="2">
        <v>46275</v>
      </c>
      <c r="C136" t="s">
        <v>69</v>
      </c>
      <c r="D136" t="s">
        <v>70</v>
      </c>
      <c r="E136" t="s">
        <v>54</v>
      </c>
      <c r="F136" t="s">
        <v>64</v>
      </c>
      <c r="G136" t="s">
        <v>21</v>
      </c>
      <c r="H136" t="s">
        <v>30</v>
      </c>
      <c r="I136">
        <v>1</v>
      </c>
      <c r="J136" s="3">
        <v>8400</v>
      </c>
      <c r="K136" s="3">
        <v>9500</v>
      </c>
      <c r="L136" s="3">
        <v>9500</v>
      </c>
      <c r="M136" s="3">
        <v>1100</v>
      </c>
      <c r="N136" t="s">
        <v>31</v>
      </c>
      <c r="O136" t="s">
        <v>45</v>
      </c>
      <c r="P136">
        <v>30</v>
      </c>
    </row>
    <row r="137" spans="1:16" x14ac:dyDescent="0.35">
      <c r="A137" t="s">
        <v>220</v>
      </c>
      <c r="B137" s="2">
        <v>46276</v>
      </c>
      <c r="C137" t="s">
        <v>90</v>
      </c>
      <c r="D137" t="s">
        <v>91</v>
      </c>
      <c r="E137" t="s">
        <v>19</v>
      </c>
      <c r="F137" t="s">
        <v>92</v>
      </c>
      <c r="G137" t="s">
        <v>77</v>
      </c>
      <c r="H137" t="s">
        <v>22</v>
      </c>
      <c r="I137">
        <v>1</v>
      </c>
      <c r="J137" s="3">
        <v>285700</v>
      </c>
      <c r="K137" s="3">
        <v>326500</v>
      </c>
      <c r="L137" s="3">
        <v>326500</v>
      </c>
      <c r="M137" s="3">
        <v>40800</v>
      </c>
      <c r="N137" t="s">
        <v>40</v>
      </c>
      <c r="O137" t="s">
        <v>24</v>
      </c>
      <c r="P137">
        <v>180</v>
      </c>
    </row>
    <row r="138" spans="1:16" hidden="1" x14ac:dyDescent="0.35">
      <c r="A138" t="s">
        <v>221</v>
      </c>
      <c r="B138" s="2">
        <v>46097</v>
      </c>
      <c r="C138" t="s">
        <v>52</v>
      </c>
      <c r="D138" t="s">
        <v>53</v>
      </c>
      <c r="E138" t="s">
        <v>54</v>
      </c>
      <c r="F138" t="s">
        <v>55</v>
      </c>
      <c r="G138" t="s">
        <v>77</v>
      </c>
      <c r="H138" t="s">
        <v>35</v>
      </c>
      <c r="I138">
        <v>1</v>
      </c>
      <c r="J138" s="3">
        <v>34600</v>
      </c>
      <c r="K138" s="3">
        <v>39100</v>
      </c>
      <c r="L138" s="3">
        <v>39100</v>
      </c>
      <c r="M138" s="3">
        <v>4500</v>
      </c>
      <c r="N138" t="s">
        <v>31</v>
      </c>
      <c r="O138" t="s">
        <v>24</v>
      </c>
      <c r="P138">
        <v>30</v>
      </c>
    </row>
    <row r="139" spans="1:16" hidden="1" x14ac:dyDescent="0.35">
      <c r="A139" t="s">
        <v>222</v>
      </c>
      <c r="B139" s="2">
        <v>46144</v>
      </c>
      <c r="C139" t="s">
        <v>17</v>
      </c>
      <c r="D139" t="s">
        <v>18</v>
      </c>
      <c r="E139" t="s">
        <v>19</v>
      </c>
      <c r="F139" t="s">
        <v>20</v>
      </c>
      <c r="G139" t="s">
        <v>77</v>
      </c>
      <c r="H139" t="s">
        <v>22</v>
      </c>
      <c r="I139">
        <v>1</v>
      </c>
      <c r="J139" s="3">
        <v>181100</v>
      </c>
      <c r="K139" s="3">
        <v>229900</v>
      </c>
      <c r="L139" s="3">
        <v>229900</v>
      </c>
      <c r="M139" s="3">
        <v>48800</v>
      </c>
      <c r="N139" t="s">
        <v>37</v>
      </c>
      <c r="O139" t="s">
        <v>45</v>
      </c>
      <c r="P139">
        <v>180</v>
      </c>
    </row>
    <row r="140" spans="1:16" hidden="1" x14ac:dyDescent="0.35">
      <c r="A140" t="s">
        <v>223</v>
      </c>
      <c r="B140" s="2">
        <v>46246</v>
      </c>
      <c r="C140" t="s">
        <v>101</v>
      </c>
      <c r="D140" t="s">
        <v>102</v>
      </c>
      <c r="E140" t="s">
        <v>19</v>
      </c>
      <c r="F140" t="s">
        <v>83</v>
      </c>
      <c r="G140" t="s">
        <v>21</v>
      </c>
      <c r="H140" t="s">
        <v>30</v>
      </c>
      <c r="I140">
        <v>1</v>
      </c>
      <c r="J140" s="3">
        <v>241100</v>
      </c>
      <c r="K140" s="3">
        <v>292200</v>
      </c>
      <c r="L140" s="3">
        <v>292200</v>
      </c>
      <c r="M140" s="3">
        <v>51100</v>
      </c>
      <c r="N140" t="s">
        <v>31</v>
      </c>
      <c r="O140" t="s">
        <v>24</v>
      </c>
      <c r="P140">
        <v>180</v>
      </c>
    </row>
    <row r="141" spans="1:16" hidden="1" x14ac:dyDescent="0.35">
      <c r="A141" t="s">
        <v>224</v>
      </c>
      <c r="B141" s="2">
        <v>46262</v>
      </c>
      <c r="C141" t="s">
        <v>17</v>
      </c>
      <c r="D141" t="s">
        <v>18</v>
      </c>
      <c r="E141" t="s">
        <v>19</v>
      </c>
      <c r="F141" t="s">
        <v>20</v>
      </c>
      <c r="G141" t="s">
        <v>77</v>
      </c>
      <c r="H141" t="s">
        <v>22</v>
      </c>
      <c r="I141">
        <v>-1</v>
      </c>
      <c r="J141" s="3">
        <v>236700</v>
      </c>
      <c r="K141" s="3">
        <v>310800</v>
      </c>
      <c r="L141" s="3">
        <v>-310800</v>
      </c>
      <c r="M141" s="3">
        <v>-74100</v>
      </c>
      <c r="N141" t="s">
        <v>37</v>
      </c>
      <c r="O141" t="s">
        <v>60</v>
      </c>
      <c r="P141">
        <v>180</v>
      </c>
    </row>
    <row r="142" spans="1:16" hidden="1" x14ac:dyDescent="0.35">
      <c r="A142" t="s">
        <v>225</v>
      </c>
      <c r="B142" s="2">
        <v>46185</v>
      </c>
      <c r="C142" t="s">
        <v>17</v>
      </c>
      <c r="D142" t="s">
        <v>18</v>
      </c>
      <c r="E142" t="s">
        <v>19</v>
      </c>
      <c r="F142" t="s">
        <v>20</v>
      </c>
      <c r="G142" t="s">
        <v>77</v>
      </c>
      <c r="H142" t="s">
        <v>50</v>
      </c>
      <c r="I142">
        <v>1</v>
      </c>
      <c r="J142" s="3">
        <v>214100</v>
      </c>
      <c r="K142" s="3">
        <v>265000</v>
      </c>
      <c r="L142" s="3">
        <v>265000</v>
      </c>
      <c r="M142" s="3">
        <v>50900</v>
      </c>
      <c r="N142" t="s">
        <v>31</v>
      </c>
      <c r="O142" t="s">
        <v>45</v>
      </c>
      <c r="P142">
        <v>180</v>
      </c>
    </row>
    <row r="143" spans="1:16" x14ac:dyDescent="0.35">
      <c r="A143" t="s">
        <v>226</v>
      </c>
      <c r="B143" s="2">
        <v>46205</v>
      </c>
      <c r="C143" t="s">
        <v>95</v>
      </c>
      <c r="D143" t="s">
        <v>96</v>
      </c>
      <c r="E143" t="s">
        <v>19</v>
      </c>
      <c r="F143" t="s">
        <v>28</v>
      </c>
      <c r="G143" t="s">
        <v>77</v>
      </c>
      <c r="H143" t="s">
        <v>50</v>
      </c>
      <c r="I143">
        <v>1</v>
      </c>
      <c r="J143" s="3">
        <v>190700</v>
      </c>
      <c r="K143" s="3">
        <v>237700</v>
      </c>
      <c r="L143" s="3">
        <v>237700</v>
      </c>
      <c r="M143" s="3">
        <v>47000</v>
      </c>
      <c r="N143" t="s">
        <v>40</v>
      </c>
      <c r="O143" t="s">
        <v>24</v>
      </c>
      <c r="P143">
        <v>180</v>
      </c>
    </row>
    <row r="144" spans="1:16" hidden="1" x14ac:dyDescent="0.35">
      <c r="A144" t="s">
        <v>227</v>
      </c>
      <c r="B144" s="2">
        <v>46117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30</v>
      </c>
      <c r="I144">
        <v>2</v>
      </c>
      <c r="J144" s="3">
        <v>200500</v>
      </c>
      <c r="K144" s="3">
        <v>232500</v>
      </c>
      <c r="L144" s="3">
        <v>465000</v>
      </c>
      <c r="M144" s="3">
        <v>64000</v>
      </c>
      <c r="N144" t="s">
        <v>37</v>
      </c>
      <c r="O144" t="s">
        <v>24</v>
      </c>
      <c r="P144">
        <v>180</v>
      </c>
    </row>
    <row r="145" spans="1:16" hidden="1" x14ac:dyDescent="0.35">
      <c r="A145" t="s">
        <v>228</v>
      </c>
      <c r="B145" s="2">
        <v>46104</v>
      </c>
      <c r="C145" t="s">
        <v>104</v>
      </c>
      <c r="D145" t="s">
        <v>105</v>
      </c>
      <c r="E145" t="s">
        <v>106</v>
      </c>
      <c r="F145" t="s">
        <v>76</v>
      </c>
      <c r="G145" t="s">
        <v>21</v>
      </c>
      <c r="H145" t="s">
        <v>22</v>
      </c>
      <c r="I145">
        <v>1</v>
      </c>
      <c r="J145" s="3">
        <v>41800</v>
      </c>
      <c r="K145" s="3">
        <v>55100</v>
      </c>
      <c r="L145" s="3">
        <v>55100</v>
      </c>
      <c r="M145" s="3">
        <v>13300</v>
      </c>
      <c r="N145" t="s">
        <v>37</v>
      </c>
      <c r="O145" t="s">
        <v>24</v>
      </c>
      <c r="P145">
        <v>90</v>
      </c>
    </row>
    <row r="146" spans="1:16" hidden="1" x14ac:dyDescent="0.35">
      <c r="A146" t="s">
        <v>229</v>
      </c>
      <c r="B146" s="2">
        <v>46286</v>
      </c>
      <c r="C146" t="s">
        <v>62</v>
      </c>
      <c r="D146" t="s">
        <v>63</v>
      </c>
      <c r="E146" t="s">
        <v>54</v>
      </c>
      <c r="F146" t="s">
        <v>64</v>
      </c>
      <c r="G146" t="s">
        <v>39</v>
      </c>
      <c r="H146" t="s">
        <v>35</v>
      </c>
      <c r="I146">
        <v>2</v>
      </c>
      <c r="J146" s="3">
        <v>24700</v>
      </c>
      <c r="K146" s="3">
        <v>31600</v>
      </c>
      <c r="L146" s="3">
        <v>63200</v>
      </c>
      <c r="M146" s="3">
        <v>13800</v>
      </c>
      <c r="N146" t="s">
        <v>37</v>
      </c>
      <c r="O146" t="s">
        <v>24</v>
      </c>
      <c r="P146">
        <v>30</v>
      </c>
    </row>
    <row r="147" spans="1:16" hidden="1" x14ac:dyDescent="0.35">
      <c r="A147" t="s">
        <v>230</v>
      </c>
      <c r="B147" s="2">
        <v>46286</v>
      </c>
      <c r="C147" t="s">
        <v>62</v>
      </c>
      <c r="D147" t="s">
        <v>63</v>
      </c>
      <c r="E147" t="s">
        <v>54</v>
      </c>
      <c r="F147" t="s">
        <v>64</v>
      </c>
      <c r="G147" t="s">
        <v>21</v>
      </c>
      <c r="H147" t="s">
        <v>30</v>
      </c>
      <c r="I147">
        <v>1</v>
      </c>
      <c r="J147" s="3">
        <v>8100</v>
      </c>
      <c r="K147" s="3">
        <v>9700</v>
      </c>
      <c r="L147" s="3">
        <v>9700</v>
      </c>
      <c r="M147" s="3">
        <v>1600</v>
      </c>
      <c r="N147" t="s">
        <v>23</v>
      </c>
      <c r="O147" t="s">
        <v>24</v>
      </c>
      <c r="P147">
        <v>30</v>
      </c>
    </row>
    <row r="148" spans="1:16" hidden="1" x14ac:dyDescent="0.35">
      <c r="A148" t="s">
        <v>231</v>
      </c>
      <c r="B148" s="2">
        <v>46270</v>
      </c>
      <c r="C148" t="s">
        <v>62</v>
      </c>
      <c r="D148" t="s">
        <v>63</v>
      </c>
      <c r="E148" t="s">
        <v>54</v>
      </c>
      <c r="F148" t="s">
        <v>64</v>
      </c>
      <c r="G148" t="s">
        <v>29</v>
      </c>
      <c r="H148" t="s">
        <v>22</v>
      </c>
      <c r="I148">
        <v>-1</v>
      </c>
      <c r="J148" s="3">
        <v>32500</v>
      </c>
      <c r="K148" s="3">
        <v>40100</v>
      </c>
      <c r="L148" s="3">
        <v>-40100</v>
      </c>
      <c r="M148" s="3">
        <v>-7600</v>
      </c>
      <c r="N148" t="s">
        <v>37</v>
      </c>
      <c r="O148" t="s">
        <v>60</v>
      </c>
      <c r="P148">
        <v>30</v>
      </c>
    </row>
    <row r="149" spans="1:16" x14ac:dyDescent="0.35">
      <c r="A149" t="s">
        <v>232</v>
      </c>
      <c r="B149" s="2">
        <v>46285</v>
      </c>
      <c r="C149" t="s">
        <v>17</v>
      </c>
      <c r="D149" t="s">
        <v>18</v>
      </c>
      <c r="E149" t="s">
        <v>19</v>
      </c>
      <c r="F149" t="s">
        <v>20</v>
      </c>
      <c r="G149" t="s">
        <v>29</v>
      </c>
      <c r="H149" t="s">
        <v>22</v>
      </c>
      <c r="I149">
        <v>5</v>
      </c>
      <c r="J149" s="3">
        <v>293500</v>
      </c>
      <c r="K149" s="3">
        <v>377900</v>
      </c>
      <c r="L149" s="3">
        <v>1889500</v>
      </c>
      <c r="M149" s="3">
        <v>422000</v>
      </c>
      <c r="N149" t="s">
        <v>40</v>
      </c>
      <c r="O149" t="s">
        <v>24</v>
      </c>
      <c r="P149">
        <v>180</v>
      </c>
    </row>
    <row r="150" spans="1:16" hidden="1" x14ac:dyDescent="0.35">
      <c r="A150" t="s">
        <v>233</v>
      </c>
      <c r="B150" s="2">
        <v>46217</v>
      </c>
      <c r="C150" t="s">
        <v>62</v>
      </c>
      <c r="D150" t="s">
        <v>63</v>
      </c>
      <c r="E150" t="s">
        <v>54</v>
      </c>
      <c r="F150" t="s">
        <v>64</v>
      </c>
      <c r="G150" t="s">
        <v>77</v>
      </c>
      <c r="H150" t="s">
        <v>30</v>
      </c>
      <c r="I150">
        <v>2</v>
      </c>
      <c r="J150" s="3">
        <v>34700</v>
      </c>
      <c r="K150" s="3">
        <v>42500</v>
      </c>
      <c r="L150" s="3">
        <v>85000</v>
      </c>
      <c r="M150" s="3">
        <v>15600</v>
      </c>
      <c r="N150" t="s">
        <v>37</v>
      </c>
      <c r="O150" t="s">
        <v>24</v>
      </c>
      <c r="P150">
        <v>30</v>
      </c>
    </row>
    <row r="151" spans="1:16" hidden="1" x14ac:dyDescent="0.35">
      <c r="A151" t="s">
        <v>234</v>
      </c>
      <c r="B151" s="2">
        <v>46060</v>
      </c>
      <c r="C151" t="s">
        <v>57</v>
      </c>
      <c r="D151" t="s">
        <v>58</v>
      </c>
      <c r="E151" t="s">
        <v>49</v>
      </c>
      <c r="F151" t="s">
        <v>59</v>
      </c>
      <c r="G151" t="s">
        <v>77</v>
      </c>
      <c r="H151" t="s">
        <v>22</v>
      </c>
      <c r="I151">
        <v>2</v>
      </c>
      <c r="J151" s="3">
        <v>102300</v>
      </c>
      <c r="K151" s="3">
        <v>115600</v>
      </c>
      <c r="L151" s="3">
        <v>231200</v>
      </c>
      <c r="M151" s="3">
        <v>26600</v>
      </c>
      <c r="N151" t="s">
        <v>37</v>
      </c>
      <c r="O151" t="s">
        <v>24</v>
      </c>
      <c r="P151">
        <v>90</v>
      </c>
    </row>
    <row r="152" spans="1:16" x14ac:dyDescent="0.35">
      <c r="A152" t="s">
        <v>235</v>
      </c>
      <c r="B152" s="2">
        <v>46103</v>
      </c>
      <c r="C152" t="s">
        <v>42</v>
      </c>
      <c r="D152" t="s">
        <v>43</v>
      </c>
      <c r="E152" t="s">
        <v>44</v>
      </c>
      <c r="F152" t="s">
        <v>28</v>
      </c>
      <c r="G152" t="s">
        <v>77</v>
      </c>
      <c r="H152" t="s">
        <v>22</v>
      </c>
      <c r="I152">
        <v>-4</v>
      </c>
      <c r="J152" s="3">
        <v>197700</v>
      </c>
      <c r="K152" s="3">
        <v>255100</v>
      </c>
      <c r="L152" s="3">
        <v>-1020400</v>
      </c>
      <c r="M152" s="3">
        <v>-229600</v>
      </c>
      <c r="N152" t="s">
        <v>40</v>
      </c>
      <c r="O152" t="s">
        <v>60</v>
      </c>
      <c r="P152">
        <v>180</v>
      </c>
    </row>
    <row r="153" spans="1:16" hidden="1" x14ac:dyDescent="0.35">
      <c r="A153" t="s">
        <v>236</v>
      </c>
      <c r="B153" s="2">
        <v>46070</v>
      </c>
      <c r="C153" t="s">
        <v>47</v>
      </c>
      <c r="D153" t="s">
        <v>48</v>
      </c>
      <c r="E153" t="s">
        <v>49</v>
      </c>
      <c r="F153" t="s">
        <v>20</v>
      </c>
      <c r="G153" t="s">
        <v>77</v>
      </c>
      <c r="H153" t="s">
        <v>30</v>
      </c>
      <c r="I153">
        <v>2</v>
      </c>
      <c r="J153" s="3">
        <v>82100</v>
      </c>
      <c r="K153" s="3">
        <v>102700</v>
      </c>
      <c r="L153" s="3">
        <v>205400</v>
      </c>
      <c r="M153" s="3">
        <v>41200</v>
      </c>
      <c r="N153" t="s">
        <v>31</v>
      </c>
      <c r="O153" t="s">
        <v>24</v>
      </c>
      <c r="P153">
        <v>90</v>
      </c>
    </row>
    <row r="154" spans="1:16" hidden="1" x14ac:dyDescent="0.35">
      <c r="A154" t="s">
        <v>237</v>
      </c>
      <c r="B154" s="2">
        <v>46074</v>
      </c>
      <c r="C154" t="s">
        <v>111</v>
      </c>
      <c r="D154" t="s">
        <v>112</v>
      </c>
      <c r="E154" t="s">
        <v>19</v>
      </c>
      <c r="F154" t="s">
        <v>83</v>
      </c>
      <c r="G154" t="s">
        <v>21</v>
      </c>
      <c r="H154" t="s">
        <v>35</v>
      </c>
      <c r="I154">
        <v>-2</v>
      </c>
      <c r="J154" s="3">
        <v>273800</v>
      </c>
      <c r="K154" s="3">
        <v>352000</v>
      </c>
      <c r="L154" s="3">
        <v>-704000</v>
      </c>
      <c r="M154" s="3">
        <v>-156400</v>
      </c>
      <c r="N154" t="s">
        <v>23</v>
      </c>
      <c r="O154" t="s">
        <v>60</v>
      </c>
      <c r="P154">
        <v>180</v>
      </c>
    </row>
    <row r="155" spans="1:16" x14ac:dyDescent="0.35">
      <c r="A155" t="s">
        <v>238</v>
      </c>
      <c r="B155" s="2">
        <v>46125</v>
      </c>
      <c r="C155" t="s">
        <v>47</v>
      </c>
      <c r="D155" t="s">
        <v>48</v>
      </c>
      <c r="E155" t="s">
        <v>49</v>
      </c>
      <c r="F155" t="s">
        <v>20</v>
      </c>
      <c r="G155" t="s">
        <v>29</v>
      </c>
      <c r="H155" t="s">
        <v>50</v>
      </c>
      <c r="I155">
        <v>1</v>
      </c>
      <c r="J155" s="3">
        <v>82000</v>
      </c>
      <c r="K155" s="3">
        <v>107400</v>
      </c>
      <c r="L155" s="3">
        <v>107400</v>
      </c>
      <c r="M155" s="3">
        <v>25400</v>
      </c>
      <c r="N155" t="s">
        <v>40</v>
      </c>
      <c r="O155" t="s">
        <v>45</v>
      </c>
      <c r="P155">
        <v>90</v>
      </c>
    </row>
    <row r="156" spans="1:16" x14ac:dyDescent="0.35">
      <c r="A156" t="s">
        <v>239</v>
      </c>
      <c r="B156" s="2">
        <v>46296</v>
      </c>
      <c r="C156" t="s">
        <v>26</v>
      </c>
      <c r="D156" t="s">
        <v>27</v>
      </c>
      <c r="E156" t="s">
        <v>19</v>
      </c>
      <c r="F156" t="s">
        <v>28</v>
      </c>
      <c r="G156" t="s">
        <v>39</v>
      </c>
      <c r="H156" t="s">
        <v>35</v>
      </c>
      <c r="I156">
        <v>-1</v>
      </c>
      <c r="J156" s="3">
        <v>221400</v>
      </c>
      <c r="K156" s="3">
        <v>282900</v>
      </c>
      <c r="L156" s="3">
        <v>-282900</v>
      </c>
      <c r="M156" s="3">
        <v>-61500</v>
      </c>
      <c r="N156" t="s">
        <v>40</v>
      </c>
      <c r="O156" t="s">
        <v>60</v>
      </c>
      <c r="P156">
        <v>180</v>
      </c>
    </row>
    <row r="157" spans="1:16" hidden="1" x14ac:dyDescent="0.35">
      <c r="A157" t="s">
        <v>240</v>
      </c>
      <c r="B157" s="2">
        <v>46111</v>
      </c>
      <c r="C157" t="s">
        <v>69</v>
      </c>
      <c r="D157" t="s">
        <v>70</v>
      </c>
      <c r="E157" t="s">
        <v>54</v>
      </c>
      <c r="F157" t="s">
        <v>64</v>
      </c>
      <c r="G157" t="s">
        <v>21</v>
      </c>
      <c r="H157" t="s">
        <v>22</v>
      </c>
      <c r="I157">
        <v>-3</v>
      </c>
      <c r="J157" s="3">
        <v>17500</v>
      </c>
      <c r="K157" s="3">
        <v>20200</v>
      </c>
      <c r="L157" s="3">
        <v>-60600</v>
      </c>
      <c r="M157" s="3">
        <v>-8100</v>
      </c>
      <c r="N157" t="s">
        <v>37</v>
      </c>
      <c r="O157" t="s">
        <v>60</v>
      </c>
      <c r="P157">
        <v>30</v>
      </c>
    </row>
    <row r="158" spans="1:16" hidden="1" x14ac:dyDescent="0.35">
      <c r="A158" t="s">
        <v>241</v>
      </c>
      <c r="B158" s="2">
        <v>46256</v>
      </c>
      <c r="C158" t="s">
        <v>47</v>
      </c>
      <c r="D158" t="s">
        <v>48</v>
      </c>
      <c r="E158" t="s">
        <v>49</v>
      </c>
      <c r="F158" t="s">
        <v>20</v>
      </c>
      <c r="G158" t="s">
        <v>29</v>
      </c>
      <c r="H158" t="s">
        <v>50</v>
      </c>
      <c r="I158">
        <v>1</v>
      </c>
      <c r="J158" s="3">
        <v>102200</v>
      </c>
      <c r="K158" s="3">
        <v>119300</v>
      </c>
      <c r="L158" s="3">
        <v>119300</v>
      </c>
      <c r="M158" s="3">
        <v>17100</v>
      </c>
      <c r="N158" t="s">
        <v>31</v>
      </c>
      <c r="O158" t="s">
        <v>24</v>
      </c>
      <c r="P158">
        <v>90</v>
      </c>
    </row>
    <row r="159" spans="1:16" hidden="1" x14ac:dyDescent="0.35">
      <c r="A159" t="s">
        <v>242</v>
      </c>
      <c r="B159" s="2">
        <v>46252</v>
      </c>
      <c r="C159" t="s">
        <v>87</v>
      </c>
      <c r="D159" t="s">
        <v>88</v>
      </c>
      <c r="E159" t="s">
        <v>75</v>
      </c>
      <c r="F159" t="s">
        <v>76</v>
      </c>
      <c r="G159" t="s">
        <v>21</v>
      </c>
      <c r="H159" t="s">
        <v>35</v>
      </c>
      <c r="I159">
        <v>-2</v>
      </c>
      <c r="J159" s="3">
        <v>70200</v>
      </c>
      <c r="K159" s="3">
        <v>81300</v>
      </c>
      <c r="L159" s="3">
        <v>-162600</v>
      </c>
      <c r="M159" s="3">
        <v>-22200</v>
      </c>
      <c r="N159" t="s">
        <v>37</v>
      </c>
      <c r="O159" t="s">
        <v>60</v>
      </c>
      <c r="P159">
        <v>90</v>
      </c>
    </row>
    <row r="160" spans="1:16" hidden="1" x14ac:dyDescent="0.35">
      <c r="A160" t="s">
        <v>243</v>
      </c>
      <c r="B160" s="2">
        <v>46097</v>
      </c>
      <c r="C160" t="s">
        <v>73</v>
      </c>
      <c r="D160" t="s">
        <v>74</v>
      </c>
      <c r="E160" t="s">
        <v>75</v>
      </c>
      <c r="F160" t="s">
        <v>76</v>
      </c>
      <c r="G160" t="s">
        <v>77</v>
      </c>
      <c r="H160" t="s">
        <v>22</v>
      </c>
      <c r="I160">
        <v>-3</v>
      </c>
      <c r="J160" s="3">
        <v>51400</v>
      </c>
      <c r="K160" s="3">
        <v>67500</v>
      </c>
      <c r="L160" s="3">
        <v>-202500</v>
      </c>
      <c r="M160" s="3">
        <v>-48300</v>
      </c>
      <c r="N160" t="s">
        <v>37</v>
      </c>
      <c r="O160" t="s">
        <v>60</v>
      </c>
      <c r="P160">
        <v>90</v>
      </c>
    </row>
    <row r="161" spans="1:16" hidden="1" x14ac:dyDescent="0.35">
      <c r="A161" t="s">
        <v>244</v>
      </c>
      <c r="B161" s="2">
        <v>46172</v>
      </c>
      <c r="C161" t="s">
        <v>47</v>
      </c>
      <c r="D161" t="s">
        <v>48</v>
      </c>
      <c r="E161" t="s">
        <v>49</v>
      </c>
      <c r="F161" t="s">
        <v>20</v>
      </c>
      <c r="G161" t="s">
        <v>39</v>
      </c>
      <c r="H161" t="s">
        <v>50</v>
      </c>
      <c r="I161">
        <v>3</v>
      </c>
      <c r="J161" s="3">
        <v>95500</v>
      </c>
      <c r="K161" s="3">
        <v>108900</v>
      </c>
      <c r="L161" s="3">
        <v>326700</v>
      </c>
      <c r="M161" s="3">
        <v>40200</v>
      </c>
      <c r="N161" t="s">
        <v>31</v>
      </c>
      <c r="O161" t="s">
        <v>24</v>
      </c>
      <c r="P161">
        <v>90</v>
      </c>
    </row>
    <row r="162" spans="1:16" hidden="1" x14ac:dyDescent="0.35">
      <c r="A162" t="s">
        <v>245</v>
      </c>
      <c r="B162" s="2">
        <v>46257</v>
      </c>
      <c r="C162" t="s">
        <v>62</v>
      </c>
      <c r="D162" t="s">
        <v>63</v>
      </c>
      <c r="E162" t="s">
        <v>54</v>
      </c>
      <c r="F162" t="s">
        <v>64</v>
      </c>
      <c r="G162" t="s">
        <v>77</v>
      </c>
      <c r="H162" t="s">
        <v>22</v>
      </c>
      <c r="I162">
        <v>1</v>
      </c>
      <c r="J162" s="3">
        <v>32300</v>
      </c>
      <c r="K162" s="3">
        <v>37100</v>
      </c>
      <c r="L162" s="3">
        <v>37100</v>
      </c>
      <c r="M162" s="3">
        <v>4800</v>
      </c>
      <c r="N162" t="s">
        <v>37</v>
      </c>
      <c r="O162" t="s">
        <v>24</v>
      </c>
      <c r="P162">
        <v>30</v>
      </c>
    </row>
    <row r="163" spans="1:16" hidden="1" x14ac:dyDescent="0.35">
      <c r="A163" t="s">
        <v>246</v>
      </c>
      <c r="B163" s="2">
        <v>46218</v>
      </c>
      <c r="C163" t="s">
        <v>101</v>
      </c>
      <c r="D163" t="s">
        <v>102</v>
      </c>
      <c r="E163" t="s">
        <v>19</v>
      </c>
      <c r="F163" t="s">
        <v>83</v>
      </c>
      <c r="G163" t="s">
        <v>29</v>
      </c>
      <c r="H163" t="s">
        <v>22</v>
      </c>
      <c r="I163">
        <v>1</v>
      </c>
      <c r="J163" s="3">
        <v>235500</v>
      </c>
      <c r="K163" s="3">
        <v>281400</v>
      </c>
      <c r="L163" s="3">
        <v>281400</v>
      </c>
      <c r="M163" s="3">
        <v>45900</v>
      </c>
      <c r="N163" t="s">
        <v>31</v>
      </c>
      <c r="O163" t="s">
        <v>24</v>
      </c>
      <c r="P163">
        <v>180</v>
      </c>
    </row>
    <row r="164" spans="1:16" x14ac:dyDescent="0.35">
      <c r="A164" t="s">
        <v>247</v>
      </c>
      <c r="B164" s="2">
        <v>46046</v>
      </c>
      <c r="C164" t="s">
        <v>17</v>
      </c>
      <c r="D164" t="s">
        <v>18</v>
      </c>
      <c r="E164" t="s">
        <v>19</v>
      </c>
      <c r="F164" t="s">
        <v>20</v>
      </c>
      <c r="G164" t="s">
        <v>77</v>
      </c>
      <c r="H164" t="s">
        <v>30</v>
      </c>
      <c r="I164">
        <v>2</v>
      </c>
      <c r="J164" s="3">
        <v>297500</v>
      </c>
      <c r="K164" s="3">
        <v>371900</v>
      </c>
      <c r="L164" s="3">
        <v>743800</v>
      </c>
      <c r="M164" s="3">
        <v>148800</v>
      </c>
      <c r="N164" t="s">
        <v>40</v>
      </c>
      <c r="O164" t="s">
        <v>24</v>
      </c>
      <c r="P164">
        <v>180</v>
      </c>
    </row>
    <row r="165" spans="1:16" hidden="1" x14ac:dyDescent="0.35">
      <c r="A165" t="s">
        <v>248</v>
      </c>
      <c r="B165" s="2">
        <v>46137</v>
      </c>
      <c r="C165" t="s">
        <v>87</v>
      </c>
      <c r="D165" t="s">
        <v>88</v>
      </c>
      <c r="E165" t="s">
        <v>75</v>
      </c>
      <c r="F165" t="s">
        <v>76</v>
      </c>
      <c r="G165" t="s">
        <v>29</v>
      </c>
      <c r="H165" t="s">
        <v>30</v>
      </c>
      <c r="I165">
        <v>1</v>
      </c>
      <c r="J165" s="3">
        <v>47400</v>
      </c>
      <c r="K165" s="3">
        <v>53100</v>
      </c>
      <c r="L165" s="3">
        <v>53100</v>
      </c>
      <c r="M165" s="3">
        <v>5700</v>
      </c>
      <c r="N165" t="s">
        <v>23</v>
      </c>
      <c r="O165" t="s">
        <v>24</v>
      </c>
      <c r="P165">
        <v>90</v>
      </c>
    </row>
    <row r="166" spans="1:16" hidden="1" x14ac:dyDescent="0.35">
      <c r="A166" t="s">
        <v>249</v>
      </c>
      <c r="B166" s="2">
        <v>46261</v>
      </c>
      <c r="C166" t="s">
        <v>42</v>
      </c>
      <c r="D166" t="s">
        <v>43</v>
      </c>
      <c r="E166" t="s">
        <v>44</v>
      </c>
      <c r="F166" t="s">
        <v>28</v>
      </c>
      <c r="G166" t="s">
        <v>39</v>
      </c>
      <c r="H166" t="s">
        <v>22</v>
      </c>
      <c r="I166">
        <v>-1</v>
      </c>
      <c r="J166" s="3">
        <v>196100</v>
      </c>
      <c r="K166" s="3">
        <v>224400</v>
      </c>
      <c r="L166" s="3">
        <v>-224400</v>
      </c>
      <c r="M166" s="3">
        <v>-28300</v>
      </c>
      <c r="N166" t="s">
        <v>37</v>
      </c>
      <c r="O166" t="s">
        <v>60</v>
      </c>
      <c r="P166">
        <v>180</v>
      </c>
    </row>
    <row r="167" spans="1:16" hidden="1" x14ac:dyDescent="0.35">
      <c r="A167" t="s">
        <v>250</v>
      </c>
      <c r="B167" s="2">
        <v>46176</v>
      </c>
      <c r="C167" t="s">
        <v>69</v>
      </c>
      <c r="D167" t="s">
        <v>70</v>
      </c>
      <c r="E167" t="s">
        <v>54</v>
      </c>
      <c r="F167" t="s">
        <v>64</v>
      </c>
      <c r="G167" t="s">
        <v>21</v>
      </c>
      <c r="H167" t="s">
        <v>22</v>
      </c>
      <c r="I167">
        <v>2</v>
      </c>
      <c r="J167" s="3">
        <v>22000</v>
      </c>
      <c r="K167" s="3">
        <v>27400</v>
      </c>
      <c r="L167" s="3">
        <v>54800</v>
      </c>
      <c r="M167" s="3">
        <v>10800</v>
      </c>
      <c r="N167" t="s">
        <v>31</v>
      </c>
      <c r="O167" t="s">
        <v>24</v>
      </c>
      <c r="P167">
        <v>30</v>
      </c>
    </row>
    <row r="168" spans="1:16" hidden="1" x14ac:dyDescent="0.35">
      <c r="A168" t="s">
        <v>251</v>
      </c>
      <c r="B168" s="2">
        <v>46211</v>
      </c>
      <c r="C168" t="s">
        <v>66</v>
      </c>
      <c r="D168" t="s">
        <v>67</v>
      </c>
      <c r="E168" t="s">
        <v>44</v>
      </c>
      <c r="F168" t="s">
        <v>20</v>
      </c>
      <c r="G168" t="s">
        <v>39</v>
      </c>
      <c r="H168" t="s">
        <v>22</v>
      </c>
      <c r="I168">
        <v>-2</v>
      </c>
      <c r="J168" s="3">
        <v>232800</v>
      </c>
      <c r="K168" s="3">
        <v>269500</v>
      </c>
      <c r="L168" s="3">
        <v>-539000</v>
      </c>
      <c r="M168" s="3">
        <v>-73400</v>
      </c>
      <c r="N168" t="s">
        <v>37</v>
      </c>
      <c r="O168" t="s">
        <v>60</v>
      </c>
      <c r="P168">
        <v>180</v>
      </c>
    </row>
    <row r="169" spans="1:16" x14ac:dyDescent="0.35">
      <c r="A169" t="s">
        <v>252</v>
      </c>
      <c r="B169" s="2">
        <v>46209</v>
      </c>
      <c r="C169" t="s">
        <v>87</v>
      </c>
      <c r="D169" t="s">
        <v>88</v>
      </c>
      <c r="E169" t="s">
        <v>75</v>
      </c>
      <c r="F169" t="s">
        <v>76</v>
      </c>
      <c r="G169" t="s">
        <v>39</v>
      </c>
      <c r="H169" t="s">
        <v>35</v>
      </c>
      <c r="I169">
        <v>1</v>
      </c>
      <c r="J169" s="3">
        <v>27200</v>
      </c>
      <c r="K169" s="3">
        <v>32600</v>
      </c>
      <c r="L169" s="3">
        <v>32600</v>
      </c>
      <c r="M169" s="3">
        <v>5400</v>
      </c>
      <c r="N169" t="s">
        <v>40</v>
      </c>
      <c r="O169" t="s">
        <v>24</v>
      </c>
      <c r="P169">
        <v>90</v>
      </c>
    </row>
    <row r="170" spans="1:16" hidden="1" x14ac:dyDescent="0.35">
      <c r="A170" t="s">
        <v>253</v>
      </c>
      <c r="B170" s="2">
        <v>46207</v>
      </c>
      <c r="C170" t="s">
        <v>17</v>
      </c>
      <c r="D170" t="s">
        <v>18</v>
      </c>
      <c r="E170" t="s">
        <v>19</v>
      </c>
      <c r="F170" t="s">
        <v>20</v>
      </c>
      <c r="G170" t="s">
        <v>77</v>
      </c>
      <c r="H170" t="s">
        <v>50</v>
      </c>
      <c r="I170">
        <v>1</v>
      </c>
      <c r="J170" s="3">
        <v>288000</v>
      </c>
      <c r="K170" s="3">
        <v>364900</v>
      </c>
      <c r="L170" s="3">
        <v>364900</v>
      </c>
      <c r="M170" s="3">
        <v>76900</v>
      </c>
      <c r="N170" t="s">
        <v>37</v>
      </c>
      <c r="O170" t="s">
        <v>24</v>
      </c>
      <c r="P170">
        <v>180</v>
      </c>
    </row>
    <row r="171" spans="1:16" hidden="1" x14ac:dyDescent="0.35">
      <c r="A171" t="s">
        <v>254</v>
      </c>
      <c r="B171" s="2">
        <v>46045</v>
      </c>
      <c r="C171" t="s">
        <v>87</v>
      </c>
      <c r="D171" t="s">
        <v>88</v>
      </c>
      <c r="E171" t="s">
        <v>75</v>
      </c>
      <c r="F171" t="s">
        <v>76</v>
      </c>
      <c r="G171" t="s">
        <v>77</v>
      </c>
      <c r="H171" t="s">
        <v>50</v>
      </c>
      <c r="I171">
        <v>1</v>
      </c>
      <c r="J171" s="3">
        <v>56600</v>
      </c>
      <c r="K171" s="3">
        <v>72600</v>
      </c>
      <c r="L171" s="3">
        <v>72600</v>
      </c>
      <c r="M171" s="3">
        <v>16000</v>
      </c>
      <c r="N171" t="s">
        <v>23</v>
      </c>
      <c r="O171" t="s">
        <v>45</v>
      </c>
      <c r="P171">
        <v>90</v>
      </c>
    </row>
    <row r="172" spans="1:16" x14ac:dyDescent="0.35">
      <c r="A172" t="s">
        <v>255</v>
      </c>
      <c r="B172" s="2">
        <v>46269</v>
      </c>
      <c r="C172" t="s">
        <v>90</v>
      </c>
      <c r="D172" t="s">
        <v>91</v>
      </c>
      <c r="E172" t="s">
        <v>19</v>
      </c>
      <c r="F172" t="s">
        <v>92</v>
      </c>
      <c r="G172" t="s">
        <v>77</v>
      </c>
      <c r="H172" t="s">
        <v>22</v>
      </c>
      <c r="I172">
        <v>1</v>
      </c>
      <c r="J172" s="3">
        <v>304000</v>
      </c>
      <c r="K172" s="3">
        <v>359700</v>
      </c>
      <c r="L172" s="3">
        <v>359700</v>
      </c>
      <c r="M172" s="3">
        <v>55700</v>
      </c>
      <c r="N172" t="s">
        <v>40</v>
      </c>
      <c r="O172" t="s">
        <v>45</v>
      </c>
      <c r="P172">
        <v>180</v>
      </c>
    </row>
    <row r="173" spans="1:16" hidden="1" x14ac:dyDescent="0.35">
      <c r="A173" t="s">
        <v>256</v>
      </c>
      <c r="B173" s="2">
        <v>46166</v>
      </c>
      <c r="C173" t="s">
        <v>42</v>
      </c>
      <c r="D173" t="s">
        <v>43</v>
      </c>
      <c r="E173" t="s">
        <v>44</v>
      </c>
      <c r="F173" t="s">
        <v>28</v>
      </c>
      <c r="G173" t="s">
        <v>39</v>
      </c>
      <c r="H173" t="s">
        <v>35</v>
      </c>
      <c r="I173">
        <v>3</v>
      </c>
      <c r="J173" s="3">
        <v>209300</v>
      </c>
      <c r="K173" s="3">
        <v>267100</v>
      </c>
      <c r="L173" s="3">
        <v>801300</v>
      </c>
      <c r="M173" s="3">
        <v>173400</v>
      </c>
      <c r="N173" t="s">
        <v>37</v>
      </c>
      <c r="O173" t="s">
        <v>24</v>
      </c>
      <c r="P173">
        <v>180</v>
      </c>
    </row>
    <row r="174" spans="1:16" hidden="1" x14ac:dyDescent="0.35">
      <c r="A174" t="s">
        <v>257</v>
      </c>
      <c r="B174" s="2">
        <v>46281</v>
      </c>
      <c r="C174" t="s">
        <v>52</v>
      </c>
      <c r="D174" t="s">
        <v>53</v>
      </c>
      <c r="E174" t="s">
        <v>54</v>
      </c>
      <c r="F174" t="s">
        <v>55</v>
      </c>
      <c r="G174" t="s">
        <v>21</v>
      </c>
      <c r="H174" t="s">
        <v>35</v>
      </c>
      <c r="I174">
        <v>1</v>
      </c>
      <c r="J174" s="3">
        <v>27800</v>
      </c>
      <c r="K174" s="3">
        <v>36100</v>
      </c>
      <c r="L174" s="3">
        <v>36100</v>
      </c>
      <c r="M174" s="3">
        <v>8300</v>
      </c>
      <c r="N174" t="s">
        <v>31</v>
      </c>
      <c r="O174" t="s">
        <v>24</v>
      </c>
      <c r="P174">
        <v>30</v>
      </c>
    </row>
    <row r="175" spans="1:16" hidden="1" x14ac:dyDescent="0.35">
      <c r="A175" t="s">
        <v>258</v>
      </c>
      <c r="B175" s="2">
        <v>46177</v>
      </c>
      <c r="C175" t="s">
        <v>26</v>
      </c>
      <c r="D175" t="s">
        <v>27</v>
      </c>
      <c r="E175" t="s">
        <v>19</v>
      </c>
      <c r="F175" t="s">
        <v>28</v>
      </c>
      <c r="G175" t="s">
        <v>77</v>
      </c>
      <c r="H175" t="s">
        <v>22</v>
      </c>
      <c r="I175">
        <v>2</v>
      </c>
      <c r="J175" s="3">
        <v>281800</v>
      </c>
      <c r="K175" s="3">
        <v>320100</v>
      </c>
      <c r="L175" s="3">
        <v>640200</v>
      </c>
      <c r="M175" s="3">
        <v>76600</v>
      </c>
      <c r="N175" t="s">
        <v>23</v>
      </c>
      <c r="O175" t="s">
        <v>24</v>
      </c>
      <c r="P175">
        <v>180</v>
      </c>
    </row>
    <row r="176" spans="1:16" hidden="1" x14ac:dyDescent="0.35">
      <c r="A176" t="s">
        <v>259</v>
      </c>
      <c r="B176" s="2">
        <v>46112</v>
      </c>
      <c r="C176" t="s">
        <v>57</v>
      </c>
      <c r="D176" t="s">
        <v>58</v>
      </c>
      <c r="E176" t="s">
        <v>49</v>
      </c>
      <c r="F176" t="s">
        <v>59</v>
      </c>
      <c r="G176" t="s">
        <v>21</v>
      </c>
      <c r="H176" t="s">
        <v>35</v>
      </c>
      <c r="I176">
        <v>2</v>
      </c>
      <c r="J176" s="3">
        <v>101400</v>
      </c>
      <c r="K176" s="3">
        <v>119800</v>
      </c>
      <c r="L176" s="3">
        <v>239600</v>
      </c>
      <c r="M176" s="3">
        <v>36800</v>
      </c>
      <c r="N176" t="s">
        <v>37</v>
      </c>
      <c r="O176" t="s">
        <v>45</v>
      </c>
      <c r="P176">
        <v>90</v>
      </c>
    </row>
    <row r="177" spans="1:16" hidden="1" x14ac:dyDescent="0.35">
      <c r="A177" t="s">
        <v>260</v>
      </c>
      <c r="B177" s="2">
        <v>46167</v>
      </c>
      <c r="C177" t="s">
        <v>101</v>
      </c>
      <c r="D177" t="s">
        <v>102</v>
      </c>
      <c r="E177" t="s">
        <v>19</v>
      </c>
      <c r="F177" t="s">
        <v>83</v>
      </c>
      <c r="G177" t="s">
        <v>39</v>
      </c>
      <c r="H177" t="s">
        <v>22</v>
      </c>
      <c r="I177">
        <v>2</v>
      </c>
      <c r="J177" s="3">
        <v>281800</v>
      </c>
      <c r="K177" s="3">
        <v>367000</v>
      </c>
      <c r="L177" s="3">
        <v>734000</v>
      </c>
      <c r="M177" s="3">
        <v>170400</v>
      </c>
      <c r="N177" t="s">
        <v>37</v>
      </c>
      <c r="O177" t="s">
        <v>45</v>
      </c>
      <c r="P177">
        <v>180</v>
      </c>
    </row>
    <row r="178" spans="1:16" x14ac:dyDescent="0.35">
      <c r="A178" t="s">
        <v>261</v>
      </c>
      <c r="B178" s="2">
        <v>46100</v>
      </c>
      <c r="C178" t="s">
        <v>47</v>
      </c>
      <c r="D178" t="s">
        <v>48</v>
      </c>
      <c r="E178" t="s">
        <v>49</v>
      </c>
      <c r="F178" t="s">
        <v>20</v>
      </c>
      <c r="G178" t="s">
        <v>21</v>
      </c>
      <c r="H178" t="s">
        <v>22</v>
      </c>
      <c r="I178">
        <v>1</v>
      </c>
      <c r="J178" s="3">
        <v>93200</v>
      </c>
      <c r="K178" s="3">
        <v>118400</v>
      </c>
      <c r="L178" s="3">
        <v>118400</v>
      </c>
      <c r="M178" s="3">
        <v>25200</v>
      </c>
      <c r="N178" t="s">
        <v>40</v>
      </c>
      <c r="O178" t="s">
        <v>24</v>
      </c>
      <c r="P178">
        <v>90</v>
      </c>
    </row>
    <row r="179" spans="1:16" hidden="1" x14ac:dyDescent="0.35">
      <c r="A179" t="s">
        <v>262</v>
      </c>
      <c r="B179" s="2">
        <v>46043</v>
      </c>
      <c r="C179" t="s">
        <v>26</v>
      </c>
      <c r="D179" t="s">
        <v>27</v>
      </c>
      <c r="E179" t="s">
        <v>19</v>
      </c>
      <c r="F179" t="s">
        <v>28</v>
      </c>
      <c r="G179" t="s">
        <v>29</v>
      </c>
      <c r="H179" t="s">
        <v>30</v>
      </c>
      <c r="I179">
        <v>-1</v>
      </c>
      <c r="J179" s="3">
        <v>213000</v>
      </c>
      <c r="K179" s="3">
        <v>266000</v>
      </c>
      <c r="L179" s="3">
        <v>-266000</v>
      </c>
      <c r="M179" s="3">
        <v>-53000</v>
      </c>
      <c r="N179" t="s">
        <v>31</v>
      </c>
      <c r="O179" t="s">
        <v>60</v>
      </c>
      <c r="P179">
        <v>180</v>
      </c>
    </row>
    <row r="180" spans="1:16" x14ac:dyDescent="0.35">
      <c r="A180" t="s">
        <v>263</v>
      </c>
      <c r="B180" s="2">
        <v>46230</v>
      </c>
      <c r="C180" t="s">
        <v>47</v>
      </c>
      <c r="D180" t="s">
        <v>48</v>
      </c>
      <c r="E180" t="s">
        <v>49</v>
      </c>
      <c r="F180" t="s">
        <v>20</v>
      </c>
      <c r="G180" t="s">
        <v>77</v>
      </c>
      <c r="H180" t="s">
        <v>35</v>
      </c>
      <c r="I180">
        <v>1</v>
      </c>
      <c r="J180" s="3">
        <v>89400</v>
      </c>
      <c r="K180" s="3">
        <v>101500</v>
      </c>
      <c r="L180" s="3">
        <v>101500</v>
      </c>
      <c r="M180" s="3">
        <v>12100</v>
      </c>
      <c r="N180" t="s">
        <v>40</v>
      </c>
      <c r="O180" t="s">
        <v>24</v>
      </c>
      <c r="P180">
        <v>90</v>
      </c>
    </row>
    <row r="181" spans="1:16" hidden="1" x14ac:dyDescent="0.35">
      <c r="A181" t="s">
        <v>264</v>
      </c>
      <c r="B181" s="2">
        <v>46087</v>
      </c>
      <c r="C181" t="s">
        <v>17</v>
      </c>
      <c r="D181" t="s">
        <v>18</v>
      </c>
      <c r="E181" t="s">
        <v>19</v>
      </c>
      <c r="F181" t="s">
        <v>20</v>
      </c>
      <c r="G181" t="s">
        <v>77</v>
      </c>
      <c r="H181" t="s">
        <v>35</v>
      </c>
      <c r="I181">
        <v>-1</v>
      </c>
      <c r="J181" s="3">
        <v>183600</v>
      </c>
      <c r="K181" s="3">
        <v>212500</v>
      </c>
      <c r="L181" s="3">
        <v>-212500</v>
      </c>
      <c r="M181" s="3">
        <v>-28900</v>
      </c>
      <c r="N181" t="s">
        <v>37</v>
      </c>
      <c r="O181" t="s">
        <v>60</v>
      </c>
      <c r="P181">
        <v>180</v>
      </c>
    </row>
    <row r="182" spans="1:16" hidden="1" x14ac:dyDescent="0.35">
      <c r="A182" t="s">
        <v>265</v>
      </c>
      <c r="B182" s="2">
        <v>46129</v>
      </c>
      <c r="C182" t="s">
        <v>90</v>
      </c>
      <c r="D182" t="s">
        <v>91</v>
      </c>
      <c r="E182" t="s">
        <v>19</v>
      </c>
      <c r="F182" t="s">
        <v>92</v>
      </c>
      <c r="G182" t="s">
        <v>39</v>
      </c>
      <c r="H182" t="s">
        <v>50</v>
      </c>
      <c r="I182">
        <v>3</v>
      </c>
      <c r="J182" s="3">
        <v>319500</v>
      </c>
      <c r="K182" s="3">
        <v>376100</v>
      </c>
      <c r="L182" s="3">
        <v>1128300</v>
      </c>
      <c r="M182" s="3">
        <v>169800</v>
      </c>
      <c r="N182" t="s">
        <v>23</v>
      </c>
      <c r="O182" t="s">
        <v>45</v>
      </c>
      <c r="P182">
        <v>180</v>
      </c>
    </row>
    <row r="183" spans="1:16" hidden="1" x14ac:dyDescent="0.35">
      <c r="A183" t="s">
        <v>266</v>
      </c>
      <c r="B183" s="2">
        <v>46204</v>
      </c>
      <c r="C183" t="s">
        <v>62</v>
      </c>
      <c r="D183" t="s">
        <v>63</v>
      </c>
      <c r="E183" t="s">
        <v>54</v>
      </c>
      <c r="F183" t="s">
        <v>64</v>
      </c>
      <c r="G183" t="s">
        <v>39</v>
      </c>
      <c r="H183" t="s">
        <v>35</v>
      </c>
      <c r="I183">
        <v>5</v>
      </c>
      <c r="J183" s="3">
        <v>11800</v>
      </c>
      <c r="K183" s="3">
        <v>14900</v>
      </c>
      <c r="L183" s="3">
        <v>74500</v>
      </c>
      <c r="M183" s="3">
        <v>15500</v>
      </c>
      <c r="N183" t="s">
        <v>31</v>
      </c>
      <c r="O183" t="s">
        <v>24</v>
      </c>
      <c r="P183">
        <v>30</v>
      </c>
    </row>
    <row r="184" spans="1:16" x14ac:dyDescent="0.35">
      <c r="A184" t="s">
        <v>267</v>
      </c>
      <c r="B184" s="2">
        <v>46287</v>
      </c>
      <c r="C184" t="s">
        <v>95</v>
      </c>
      <c r="D184" t="s">
        <v>96</v>
      </c>
      <c r="E184" t="s">
        <v>19</v>
      </c>
      <c r="F184" t="s">
        <v>28</v>
      </c>
      <c r="G184" t="s">
        <v>29</v>
      </c>
      <c r="H184" t="s">
        <v>22</v>
      </c>
      <c r="I184">
        <v>2</v>
      </c>
      <c r="J184" s="3">
        <v>279700</v>
      </c>
      <c r="K184" s="3">
        <v>365100</v>
      </c>
      <c r="L184" s="3">
        <v>730200</v>
      </c>
      <c r="M184" s="3">
        <v>170800</v>
      </c>
      <c r="N184" t="s">
        <v>40</v>
      </c>
      <c r="O184" t="s">
        <v>24</v>
      </c>
      <c r="P184">
        <v>180</v>
      </c>
    </row>
    <row r="185" spans="1:16" hidden="1" x14ac:dyDescent="0.35">
      <c r="A185" t="s">
        <v>268</v>
      </c>
      <c r="B185" s="2">
        <v>46215</v>
      </c>
      <c r="C185" t="s">
        <v>111</v>
      </c>
      <c r="D185" t="s">
        <v>112</v>
      </c>
      <c r="E185" t="s">
        <v>19</v>
      </c>
      <c r="F185" t="s">
        <v>83</v>
      </c>
      <c r="G185" t="s">
        <v>21</v>
      </c>
      <c r="H185" t="s">
        <v>50</v>
      </c>
      <c r="I185">
        <v>-1</v>
      </c>
      <c r="J185" s="3">
        <v>213100</v>
      </c>
      <c r="K185" s="3">
        <v>259700</v>
      </c>
      <c r="L185" s="3">
        <v>-259700</v>
      </c>
      <c r="M185" s="3">
        <v>-46600</v>
      </c>
      <c r="N185" t="s">
        <v>23</v>
      </c>
      <c r="O185" t="s">
        <v>60</v>
      </c>
      <c r="P185">
        <v>180</v>
      </c>
    </row>
    <row r="186" spans="1:16" x14ac:dyDescent="0.35">
      <c r="A186" t="s">
        <v>269</v>
      </c>
      <c r="B186" s="2">
        <v>46237</v>
      </c>
      <c r="C186" t="s">
        <v>26</v>
      </c>
      <c r="D186" t="s">
        <v>27</v>
      </c>
      <c r="E186" t="s">
        <v>19</v>
      </c>
      <c r="F186" t="s">
        <v>28</v>
      </c>
      <c r="G186" t="s">
        <v>21</v>
      </c>
      <c r="H186" t="s">
        <v>22</v>
      </c>
      <c r="I186">
        <v>-2</v>
      </c>
      <c r="J186" s="3">
        <v>223300</v>
      </c>
      <c r="K186" s="3">
        <v>294700</v>
      </c>
      <c r="L186" s="3">
        <v>-589400</v>
      </c>
      <c r="M186" s="3">
        <v>-142800</v>
      </c>
      <c r="N186" t="s">
        <v>40</v>
      </c>
      <c r="O186" t="s">
        <v>60</v>
      </c>
      <c r="P186">
        <v>180</v>
      </c>
    </row>
    <row r="187" spans="1:16" hidden="1" x14ac:dyDescent="0.35">
      <c r="A187" t="s">
        <v>270</v>
      </c>
      <c r="B187" s="2">
        <v>46092</v>
      </c>
      <c r="C187" t="s">
        <v>57</v>
      </c>
      <c r="D187" t="s">
        <v>58</v>
      </c>
      <c r="E187" t="s">
        <v>49</v>
      </c>
      <c r="F187" t="s">
        <v>59</v>
      </c>
      <c r="G187" t="s">
        <v>29</v>
      </c>
      <c r="H187" t="s">
        <v>50</v>
      </c>
      <c r="I187">
        <v>2</v>
      </c>
      <c r="J187" s="3">
        <v>100300</v>
      </c>
      <c r="K187" s="3">
        <v>121400</v>
      </c>
      <c r="L187" s="3">
        <v>242800</v>
      </c>
      <c r="M187" s="3">
        <v>42200</v>
      </c>
      <c r="N187" t="s">
        <v>37</v>
      </c>
      <c r="O187" t="s">
        <v>24</v>
      </c>
      <c r="P187">
        <v>90</v>
      </c>
    </row>
    <row r="188" spans="1:16" hidden="1" x14ac:dyDescent="0.35">
      <c r="A188" t="s">
        <v>271</v>
      </c>
      <c r="B188" s="2">
        <v>46182</v>
      </c>
      <c r="C188" t="s">
        <v>73</v>
      </c>
      <c r="D188" t="s">
        <v>74</v>
      </c>
      <c r="E188" t="s">
        <v>75</v>
      </c>
      <c r="F188" t="s">
        <v>76</v>
      </c>
      <c r="G188" t="s">
        <v>29</v>
      </c>
      <c r="H188" t="s">
        <v>50</v>
      </c>
      <c r="I188">
        <v>1</v>
      </c>
      <c r="J188" s="3">
        <v>70500</v>
      </c>
      <c r="K188" s="3">
        <v>79700</v>
      </c>
      <c r="L188" s="3">
        <v>79700</v>
      </c>
      <c r="M188" s="3">
        <v>9200</v>
      </c>
      <c r="N188" t="s">
        <v>31</v>
      </c>
      <c r="O188" t="s">
        <v>24</v>
      </c>
      <c r="P188">
        <v>90</v>
      </c>
    </row>
    <row r="189" spans="1:16" x14ac:dyDescent="0.35">
      <c r="A189" t="s">
        <v>272</v>
      </c>
      <c r="B189" s="2">
        <v>46155</v>
      </c>
      <c r="C189" t="s">
        <v>66</v>
      </c>
      <c r="D189" t="s">
        <v>67</v>
      </c>
      <c r="E189" t="s">
        <v>44</v>
      </c>
      <c r="F189" t="s">
        <v>20</v>
      </c>
      <c r="G189" t="s">
        <v>29</v>
      </c>
      <c r="H189" t="s">
        <v>35</v>
      </c>
      <c r="I189">
        <v>3</v>
      </c>
      <c r="J189" s="3">
        <v>208100</v>
      </c>
      <c r="K189" s="3">
        <v>272200</v>
      </c>
      <c r="L189" s="3">
        <v>816600</v>
      </c>
      <c r="M189" s="3">
        <v>192300</v>
      </c>
      <c r="N189" t="s">
        <v>40</v>
      </c>
      <c r="O189" t="s">
        <v>24</v>
      </c>
      <c r="P189">
        <v>180</v>
      </c>
    </row>
    <row r="190" spans="1:16" hidden="1" x14ac:dyDescent="0.35">
      <c r="A190" t="s">
        <v>273</v>
      </c>
      <c r="B190" s="2">
        <v>46105</v>
      </c>
      <c r="C190" t="s">
        <v>42</v>
      </c>
      <c r="D190" t="s">
        <v>43</v>
      </c>
      <c r="E190" t="s">
        <v>44</v>
      </c>
      <c r="F190" t="s">
        <v>28</v>
      </c>
      <c r="G190" t="s">
        <v>29</v>
      </c>
      <c r="H190" t="s">
        <v>35</v>
      </c>
      <c r="I190">
        <v>-2</v>
      </c>
      <c r="J190" s="3">
        <v>237600</v>
      </c>
      <c r="K190" s="3">
        <v>270600</v>
      </c>
      <c r="L190" s="3">
        <v>-541200</v>
      </c>
      <c r="M190" s="3">
        <v>-66000</v>
      </c>
      <c r="N190" t="s">
        <v>23</v>
      </c>
      <c r="O190" t="s">
        <v>60</v>
      </c>
      <c r="P190">
        <v>180</v>
      </c>
    </row>
    <row r="191" spans="1:16" hidden="1" x14ac:dyDescent="0.35">
      <c r="A191" t="s">
        <v>274</v>
      </c>
      <c r="B191" s="2">
        <v>46134</v>
      </c>
      <c r="C191" t="s">
        <v>33</v>
      </c>
      <c r="D191" t="s">
        <v>34</v>
      </c>
      <c r="E191" t="s">
        <v>19</v>
      </c>
      <c r="F191" t="s">
        <v>20</v>
      </c>
      <c r="G191" t="s">
        <v>21</v>
      </c>
      <c r="H191" t="s">
        <v>22</v>
      </c>
      <c r="I191">
        <v>2</v>
      </c>
      <c r="J191" s="3">
        <v>191400</v>
      </c>
      <c r="K191" s="3">
        <v>250700</v>
      </c>
      <c r="L191" s="3">
        <v>501400</v>
      </c>
      <c r="M191" s="3">
        <v>118600</v>
      </c>
      <c r="N191" t="s">
        <v>37</v>
      </c>
      <c r="O191" t="s">
        <v>24</v>
      </c>
      <c r="P191">
        <v>180</v>
      </c>
    </row>
    <row r="192" spans="1:16" hidden="1" x14ac:dyDescent="0.35">
      <c r="A192" t="s">
        <v>275</v>
      </c>
      <c r="B192" s="2">
        <v>46179</v>
      </c>
      <c r="C192" t="s">
        <v>134</v>
      </c>
      <c r="D192" t="s">
        <v>135</v>
      </c>
      <c r="E192" t="s">
        <v>106</v>
      </c>
      <c r="F192" t="s">
        <v>76</v>
      </c>
      <c r="G192" t="s">
        <v>21</v>
      </c>
      <c r="H192" t="s">
        <v>22</v>
      </c>
      <c r="I192">
        <v>1</v>
      </c>
      <c r="J192" s="3">
        <v>28700</v>
      </c>
      <c r="K192" s="3">
        <v>37600</v>
      </c>
      <c r="L192" s="3">
        <v>37600</v>
      </c>
      <c r="M192" s="3">
        <v>8900</v>
      </c>
      <c r="N192" t="s">
        <v>23</v>
      </c>
      <c r="O192" t="s">
        <v>45</v>
      </c>
      <c r="P192">
        <v>90</v>
      </c>
    </row>
    <row r="193" spans="1:16" hidden="1" x14ac:dyDescent="0.35">
      <c r="A193" t="s">
        <v>276</v>
      </c>
      <c r="B193" s="2">
        <v>46100</v>
      </c>
      <c r="C193" t="s">
        <v>95</v>
      </c>
      <c r="D193" t="s">
        <v>96</v>
      </c>
      <c r="E193" t="s">
        <v>19</v>
      </c>
      <c r="F193" t="s">
        <v>28</v>
      </c>
      <c r="G193" t="s">
        <v>77</v>
      </c>
      <c r="H193" t="s">
        <v>35</v>
      </c>
      <c r="I193">
        <v>-1</v>
      </c>
      <c r="J193" s="3">
        <v>241500</v>
      </c>
      <c r="K193" s="3">
        <v>293900</v>
      </c>
      <c r="L193" s="3">
        <v>-293900</v>
      </c>
      <c r="M193" s="3">
        <v>-52400</v>
      </c>
      <c r="N193" t="s">
        <v>31</v>
      </c>
      <c r="O193" t="s">
        <v>60</v>
      </c>
      <c r="P193">
        <v>180</v>
      </c>
    </row>
    <row r="194" spans="1:16" hidden="1" x14ac:dyDescent="0.35">
      <c r="A194" t="s">
        <v>277</v>
      </c>
      <c r="B194" s="2">
        <v>46150</v>
      </c>
      <c r="C194" t="s">
        <v>52</v>
      </c>
      <c r="D194" t="s">
        <v>53</v>
      </c>
      <c r="E194" t="s">
        <v>54</v>
      </c>
      <c r="F194" t="s">
        <v>55</v>
      </c>
      <c r="G194" t="s">
        <v>21</v>
      </c>
      <c r="H194" t="s">
        <v>22</v>
      </c>
      <c r="I194">
        <v>2</v>
      </c>
      <c r="J194" s="3">
        <v>10700</v>
      </c>
      <c r="K194" s="3">
        <v>12800</v>
      </c>
      <c r="L194" s="3">
        <v>25600</v>
      </c>
      <c r="M194" s="3">
        <v>4200</v>
      </c>
      <c r="N194" t="s">
        <v>31</v>
      </c>
      <c r="O194" t="s">
        <v>24</v>
      </c>
      <c r="P194">
        <v>30</v>
      </c>
    </row>
    <row r="195" spans="1:16" hidden="1" x14ac:dyDescent="0.35">
      <c r="A195" t="s">
        <v>278</v>
      </c>
      <c r="B195" s="2">
        <v>46241</v>
      </c>
      <c r="C195" t="s">
        <v>62</v>
      </c>
      <c r="D195" t="s">
        <v>63</v>
      </c>
      <c r="E195" t="s">
        <v>54</v>
      </c>
      <c r="F195" t="s">
        <v>64</v>
      </c>
      <c r="G195" t="s">
        <v>29</v>
      </c>
      <c r="H195" t="s">
        <v>50</v>
      </c>
      <c r="I195">
        <v>1</v>
      </c>
      <c r="J195" s="3">
        <v>13900</v>
      </c>
      <c r="K195" s="3">
        <v>15800</v>
      </c>
      <c r="L195" s="3">
        <v>15800</v>
      </c>
      <c r="M195" s="3">
        <v>1900</v>
      </c>
      <c r="N195" t="s">
        <v>31</v>
      </c>
      <c r="O195" t="s">
        <v>45</v>
      </c>
      <c r="P195">
        <v>30</v>
      </c>
    </row>
    <row r="196" spans="1:16" hidden="1" x14ac:dyDescent="0.35">
      <c r="A196" t="s">
        <v>279</v>
      </c>
      <c r="B196" s="2">
        <v>46266</v>
      </c>
      <c r="C196" t="s">
        <v>104</v>
      </c>
      <c r="D196" t="s">
        <v>105</v>
      </c>
      <c r="E196" t="s">
        <v>106</v>
      </c>
      <c r="F196" t="s">
        <v>76</v>
      </c>
      <c r="G196" t="s">
        <v>21</v>
      </c>
      <c r="H196" t="s">
        <v>35</v>
      </c>
      <c r="I196">
        <v>-1</v>
      </c>
      <c r="J196" s="3">
        <v>44700</v>
      </c>
      <c r="K196" s="3">
        <v>51800</v>
      </c>
      <c r="L196" s="3">
        <v>-51800</v>
      </c>
      <c r="M196" s="3">
        <v>-7100</v>
      </c>
      <c r="N196" t="s">
        <v>37</v>
      </c>
      <c r="O196" t="s">
        <v>60</v>
      </c>
      <c r="P196">
        <v>90</v>
      </c>
    </row>
    <row r="197" spans="1:16" hidden="1" x14ac:dyDescent="0.35">
      <c r="A197" t="s">
        <v>280</v>
      </c>
      <c r="B197" s="2">
        <v>46137</v>
      </c>
      <c r="C197" t="s">
        <v>33</v>
      </c>
      <c r="D197" t="s">
        <v>34</v>
      </c>
      <c r="E197" t="s">
        <v>19</v>
      </c>
      <c r="F197" t="s">
        <v>20</v>
      </c>
      <c r="G197" t="s">
        <v>77</v>
      </c>
      <c r="H197" t="s">
        <v>22</v>
      </c>
      <c r="I197">
        <v>1</v>
      </c>
      <c r="J197" s="3">
        <v>192600</v>
      </c>
      <c r="K197" s="3">
        <v>230900</v>
      </c>
      <c r="L197" s="3">
        <v>230900</v>
      </c>
      <c r="M197" s="3">
        <v>38300</v>
      </c>
      <c r="N197" t="s">
        <v>23</v>
      </c>
      <c r="O197" t="s">
        <v>24</v>
      </c>
      <c r="P197">
        <v>180</v>
      </c>
    </row>
    <row r="198" spans="1:16" hidden="1" x14ac:dyDescent="0.35">
      <c r="A198" t="s">
        <v>281</v>
      </c>
      <c r="B198" s="2">
        <v>46173</v>
      </c>
      <c r="C198" t="s">
        <v>42</v>
      </c>
      <c r="D198" t="s">
        <v>43</v>
      </c>
      <c r="E198" t="s">
        <v>44</v>
      </c>
      <c r="F198" t="s">
        <v>28</v>
      </c>
      <c r="G198" t="s">
        <v>39</v>
      </c>
      <c r="H198" t="s">
        <v>22</v>
      </c>
      <c r="I198">
        <v>2</v>
      </c>
      <c r="J198" s="3">
        <v>224400</v>
      </c>
      <c r="K198" s="3">
        <v>290900</v>
      </c>
      <c r="L198" s="3">
        <v>581800</v>
      </c>
      <c r="M198" s="3">
        <v>133000</v>
      </c>
      <c r="N198" t="s">
        <v>37</v>
      </c>
      <c r="O198" t="s">
        <v>45</v>
      </c>
      <c r="P198">
        <v>180</v>
      </c>
    </row>
    <row r="199" spans="1:16" x14ac:dyDescent="0.35">
      <c r="A199" t="s">
        <v>282</v>
      </c>
      <c r="B199" s="2">
        <v>46050</v>
      </c>
      <c r="C199" t="s">
        <v>111</v>
      </c>
      <c r="D199" t="s">
        <v>112</v>
      </c>
      <c r="E199" t="s">
        <v>19</v>
      </c>
      <c r="F199" t="s">
        <v>83</v>
      </c>
      <c r="G199" t="s">
        <v>21</v>
      </c>
      <c r="H199" t="s">
        <v>22</v>
      </c>
      <c r="I199">
        <v>2</v>
      </c>
      <c r="J199" s="3">
        <v>303500</v>
      </c>
      <c r="K199" s="3">
        <v>384100</v>
      </c>
      <c r="L199" s="3">
        <v>768200</v>
      </c>
      <c r="M199" s="3">
        <v>161200</v>
      </c>
      <c r="N199" t="s">
        <v>40</v>
      </c>
      <c r="O199" t="s">
        <v>24</v>
      </c>
      <c r="P199">
        <v>180</v>
      </c>
    </row>
    <row r="200" spans="1:16" hidden="1" x14ac:dyDescent="0.35">
      <c r="A200" t="s">
        <v>283</v>
      </c>
      <c r="B200" s="2">
        <v>46170</v>
      </c>
      <c r="C200" t="s">
        <v>47</v>
      </c>
      <c r="D200" t="s">
        <v>48</v>
      </c>
      <c r="E200" t="s">
        <v>49</v>
      </c>
      <c r="F200" t="s">
        <v>20</v>
      </c>
      <c r="G200" t="s">
        <v>39</v>
      </c>
      <c r="H200" t="s">
        <v>50</v>
      </c>
      <c r="I200">
        <v>-1</v>
      </c>
      <c r="J200" s="3">
        <v>95400</v>
      </c>
      <c r="K200" s="3">
        <v>108300</v>
      </c>
      <c r="L200" s="3">
        <v>-108300</v>
      </c>
      <c r="M200" s="3">
        <v>-12900</v>
      </c>
      <c r="N200" t="s">
        <v>23</v>
      </c>
      <c r="O200" t="s">
        <v>60</v>
      </c>
      <c r="P200">
        <v>90</v>
      </c>
    </row>
    <row r="201" spans="1:16" hidden="1" x14ac:dyDescent="0.35">
      <c r="A201" t="s">
        <v>284</v>
      </c>
      <c r="B201" s="2">
        <v>46100</v>
      </c>
      <c r="C201" t="s">
        <v>52</v>
      </c>
      <c r="D201" t="s">
        <v>53</v>
      </c>
      <c r="E201" t="s">
        <v>54</v>
      </c>
      <c r="F201" t="s">
        <v>55</v>
      </c>
      <c r="G201" t="s">
        <v>29</v>
      </c>
      <c r="H201" t="s">
        <v>30</v>
      </c>
      <c r="I201">
        <v>2</v>
      </c>
      <c r="J201" s="3">
        <v>17400</v>
      </c>
      <c r="K201" s="3">
        <v>22900</v>
      </c>
      <c r="L201" s="3">
        <v>45800</v>
      </c>
      <c r="M201" s="3">
        <v>11000</v>
      </c>
      <c r="N201" t="s">
        <v>23</v>
      </c>
      <c r="O201" t="s">
        <v>24</v>
      </c>
      <c r="P201">
        <v>30</v>
      </c>
    </row>
    <row r="202" spans="1:16" hidden="1" x14ac:dyDescent="0.35">
      <c r="A202" t="s">
        <v>285</v>
      </c>
      <c r="B202" s="2">
        <v>46260</v>
      </c>
      <c r="C202" t="s">
        <v>101</v>
      </c>
      <c r="D202" t="s">
        <v>102</v>
      </c>
      <c r="E202" t="s">
        <v>19</v>
      </c>
      <c r="F202" t="s">
        <v>83</v>
      </c>
      <c r="G202" t="s">
        <v>29</v>
      </c>
      <c r="H202" t="s">
        <v>50</v>
      </c>
      <c r="I202">
        <v>-3</v>
      </c>
      <c r="J202" s="3">
        <v>185400</v>
      </c>
      <c r="K202" s="3">
        <v>234100</v>
      </c>
      <c r="L202" s="3">
        <v>-702300</v>
      </c>
      <c r="M202" s="3">
        <v>-146100</v>
      </c>
      <c r="N202" t="s">
        <v>31</v>
      </c>
      <c r="O202" t="s">
        <v>60</v>
      </c>
      <c r="P202">
        <v>180</v>
      </c>
    </row>
    <row r="203" spans="1:16" hidden="1" x14ac:dyDescent="0.35">
      <c r="A203" t="s">
        <v>286</v>
      </c>
      <c r="B203" s="2">
        <v>46199</v>
      </c>
      <c r="C203" t="s">
        <v>69</v>
      </c>
      <c r="D203" t="s">
        <v>70</v>
      </c>
      <c r="E203" t="s">
        <v>54</v>
      </c>
      <c r="F203" t="s">
        <v>64</v>
      </c>
      <c r="G203" t="s">
        <v>21</v>
      </c>
      <c r="H203" t="s">
        <v>35</v>
      </c>
      <c r="I203">
        <v>2</v>
      </c>
      <c r="J203" s="3">
        <v>15900</v>
      </c>
      <c r="K203" s="3">
        <v>19100</v>
      </c>
      <c r="L203" s="3">
        <v>38200</v>
      </c>
      <c r="M203" s="3">
        <v>6400</v>
      </c>
      <c r="N203" t="s">
        <v>37</v>
      </c>
      <c r="O203" t="s">
        <v>24</v>
      </c>
      <c r="P203">
        <v>30</v>
      </c>
    </row>
    <row r="204" spans="1:16" hidden="1" x14ac:dyDescent="0.35">
      <c r="A204" t="s">
        <v>287</v>
      </c>
      <c r="B204" s="2">
        <v>46184</v>
      </c>
      <c r="C204" t="s">
        <v>33</v>
      </c>
      <c r="D204" t="s">
        <v>34</v>
      </c>
      <c r="E204" t="s">
        <v>19</v>
      </c>
      <c r="F204" t="s">
        <v>20</v>
      </c>
      <c r="G204" t="s">
        <v>39</v>
      </c>
      <c r="H204" t="s">
        <v>30</v>
      </c>
      <c r="I204">
        <v>-4</v>
      </c>
      <c r="J204" s="3">
        <v>231600</v>
      </c>
      <c r="K204" s="3">
        <v>290600</v>
      </c>
      <c r="L204" s="3">
        <v>-1162400</v>
      </c>
      <c r="M204" s="3">
        <v>-236000</v>
      </c>
      <c r="N204" t="s">
        <v>31</v>
      </c>
      <c r="O204" t="s">
        <v>60</v>
      </c>
      <c r="P204">
        <v>180</v>
      </c>
    </row>
    <row r="205" spans="1:16" x14ac:dyDescent="0.35">
      <c r="A205" t="s">
        <v>288</v>
      </c>
      <c r="B205" s="2">
        <v>46295</v>
      </c>
      <c r="C205" t="s">
        <v>104</v>
      </c>
      <c r="D205" t="s">
        <v>105</v>
      </c>
      <c r="E205" t="s">
        <v>106</v>
      </c>
      <c r="F205" t="s">
        <v>76</v>
      </c>
      <c r="G205" t="s">
        <v>21</v>
      </c>
      <c r="H205" t="s">
        <v>50</v>
      </c>
      <c r="I205">
        <v>2</v>
      </c>
      <c r="J205" s="3">
        <v>39400</v>
      </c>
      <c r="K205" s="3">
        <v>49800</v>
      </c>
      <c r="L205" s="3">
        <v>99600</v>
      </c>
      <c r="M205" s="3">
        <v>20800</v>
      </c>
      <c r="N205" t="s">
        <v>40</v>
      </c>
      <c r="O205" t="s">
        <v>24</v>
      </c>
      <c r="P205">
        <v>90</v>
      </c>
    </row>
    <row r="206" spans="1:16" hidden="1" x14ac:dyDescent="0.35">
      <c r="A206" t="s">
        <v>289</v>
      </c>
      <c r="B206" s="2">
        <v>46187</v>
      </c>
      <c r="C206" t="s">
        <v>101</v>
      </c>
      <c r="D206" t="s">
        <v>102</v>
      </c>
      <c r="E206" t="s">
        <v>19</v>
      </c>
      <c r="F206" t="s">
        <v>83</v>
      </c>
      <c r="G206" t="s">
        <v>21</v>
      </c>
      <c r="H206" t="s">
        <v>50</v>
      </c>
      <c r="I206">
        <v>1</v>
      </c>
      <c r="J206" s="3">
        <v>260200</v>
      </c>
      <c r="K206" s="3">
        <v>327900</v>
      </c>
      <c r="L206" s="3">
        <v>327900</v>
      </c>
      <c r="M206" s="3">
        <v>67700</v>
      </c>
      <c r="N206" t="s">
        <v>37</v>
      </c>
      <c r="O206" t="s">
        <v>45</v>
      </c>
      <c r="P206">
        <v>180</v>
      </c>
    </row>
    <row r="207" spans="1:16" hidden="1" x14ac:dyDescent="0.35">
      <c r="A207" t="s">
        <v>290</v>
      </c>
      <c r="B207" s="2">
        <v>46097</v>
      </c>
      <c r="C207" t="s">
        <v>90</v>
      </c>
      <c r="D207" t="s">
        <v>91</v>
      </c>
      <c r="E207" t="s">
        <v>19</v>
      </c>
      <c r="F207" t="s">
        <v>92</v>
      </c>
      <c r="G207" t="s">
        <v>29</v>
      </c>
      <c r="H207" t="s">
        <v>35</v>
      </c>
      <c r="I207">
        <v>4</v>
      </c>
      <c r="J207" s="3">
        <v>237500</v>
      </c>
      <c r="K207" s="3">
        <v>302800</v>
      </c>
      <c r="L207" s="3">
        <v>1211200</v>
      </c>
      <c r="M207" s="3">
        <v>261200</v>
      </c>
      <c r="N207" t="s">
        <v>37</v>
      </c>
      <c r="O207" t="s">
        <v>24</v>
      </c>
      <c r="P207">
        <v>180</v>
      </c>
    </row>
    <row r="208" spans="1:16" hidden="1" x14ac:dyDescent="0.35">
      <c r="A208" t="s">
        <v>291</v>
      </c>
      <c r="B208" s="2">
        <v>46202</v>
      </c>
      <c r="C208" t="s">
        <v>73</v>
      </c>
      <c r="D208" t="s">
        <v>74</v>
      </c>
      <c r="E208" t="s">
        <v>75</v>
      </c>
      <c r="F208" t="s">
        <v>76</v>
      </c>
      <c r="G208" t="s">
        <v>77</v>
      </c>
      <c r="H208" t="s">
        <v>35</v>
      </c>
      <c r="I208">
        <v>-1</v>
      </c>
      <c r="J208" s="3">
        <v>43800</v>
      </c>
      <c r="K208" s="3">
        <v>57400</v>
      </c>
      <c r="L208" s="3">
        <v>-57400</v>
      </c>
      <c r="M208" s="3">
        <v>-13600</v>
      </c>
      <c r="N208" t="s">
        <v>37</v>
      </c>
      <c r="O208" t="s">
        <v>60</v>
      </c>
      <c r="P208">
        <v>90</v>
      </c>
    </row>
    <row r="209" spans="1:16" hidden="1" x14ac:dyDescent="0.35">
      <c r="A209" t="s">
        <v>292</v>
      </c>
      <c r="B209" s="2">
        <v>46174</v>
      </c>
      <c r="C209" t="s">
        <v>90</v>
      </c>
      <c r="D209" t="s">
        <v>91</v>
      </c>
      <c r="E209" t="s">
        <v>19</v>
      </c>
      <c r="F209" t="s">
        <v>92</v>
      </c>
      <c r="G209" t="s">
        <v>29</v>
      </c>
      <c r="H209" t="s">
        <v>30</v>
      </c>
      <c r="I209">
        <v>1</v>
      </c>
      <c r="J209" s="3">
        <v>314000</v>
      </c>
      <c r="K209" s="3">
        <v>369200</v>
      </c>
      <c r="L209" s="3">
        <v>369200</v>
      </c>
      <c r="M209" s="3">
        <v>55200</v>
      </c>
      <c r="N209" t="s">
        <v>31</v>
      </c>
      <c r="O209" t="s">
        <v>24</v>
      </c>
      <c r="P209">
        <v>180</v>
      </c>
    </row>
    <row r="210" spans="1:16" hidden="1" x14ac:dyDescent="0.35">
      <c r="A210" t="s">
        <v>293</v>
      </c>
      <c r="B210" s="2">
        <v>46174</v>
      </c>
      <c r="C210" t="s">
        <v>87</v>
      </c>
      <c r="D210" t="s">
        <v>88</v>
      </c>
      <c r="E210" t="s">
        <v>75</v>
      </c>
      <c r="F210" t="s">
        <v>76</v>
      </c>
      <c r="G210" t="s">
        <v>39</v>
      </c>
      <c r="H210" t="s">
        <v>30</v>
      </c>
      <c r="I210">
        <v>2</v>
      </c>
      <c r="J210" s="3">
        <v>42400</v>
      </c>
      <c r="K210" s="3">
        <v>55400</v>
      </c>
      <c r="L210" s="3">
        <v>110800</v>
      </c>
      <c r="M210" s="3">
        <v>26000</v>
      </c>
      <c r="N210" t="s">
        <v>37</v>
      </c>
      <c r="O210" t="s">
        <v>24</v>
      </c>
      <c r="P210">
        <v>90</v>
      </c>
    </row>
    <row r="211" spans="1:16" hidden="1" x14ac:dyDescent="0.35">
      <c r="A211" t="s">
        <v>294</v>
      </c>
      <c r="B211" s="2">
        <v>46067</v>
      </c>
      <c r="C211" t="s">
        <v>47</v>
      </c>
      <c r="D211" t="s">
        <v>48</v>
      </c>
      <c r="E211" t="s">
        <v>49</v>
      </c>
      <c r="F211" t="s">
        <v>20</v>
      </c>
      <c r="G211" t="s">
        <v>77</v>
      </c>
      <c r="H211" t="s">
        <v>30</v>
      </c>
      <c r="I211">
        <v>1</v>
      </c>
      <c r="J211" s="3">
        <v>117500</v>
      </c>
      <c r="K211" s="3">
        <v>150500</v>
      </c>
      <c r="L211" s="3">
        <v>150500</v>
      </c>
      <c r="M211" s="3">
        <v>33000</v>
      </c>
      <c r="N211" t="s">
        <v>31</v>
      </c>
      <c r="O211" t="s">
        <v>24</v>
      </c>
      <c r="P211">
        <v>90</v>
      </c>
    </row>
    <row r="212" spans="1:16" x14ac:dyDescent="0.35">
      <c r="A212" t="s">
        <v>295</v>
      </c>
      <c r="B212" s="2">
        <v>46166</v>
      </c>
      <c r="C212" t="s">
        <v>87</v>
      </c>
      <c r="D212" t="s">
        <v>88</v>
      </c>
      <c r="E212" t="s">
        <v>75</v>
      </c>
      <c r="F212" t="s">
        <v>76</v>
      </c>
      <c r="G212" t="s">
        <v>29</v>
      </c>
      <c r="H212" t="s">
        <v>22</v>
      </c>
      <c r="I212">
        <v>-1</v>
      </c>
      <c r="J212" s="3">
        <v>35700</v>
      </c>
      <c r="K212" s="3">
        <v>45900</v>
      </c>
      <c r="L212" s="3">
        <v>-45900</v>
      </c>
      <c r="M212" s="3">
        <v>-10200</v>
      </c>
      <c r="N212" t="s">
        <v>40</v>
      </c>
      <c r="O212" t="s">
        <v>60</v>
      </c>
      <c r="P212">
        <v>90</v>
      </c>
    </row>
    <row r="213" spans="1:16" hidden="1" x14ac:dyDescent="0.35">
      <c r="A213" t="s">
        <v>296</v>
      </c>
      <c r="B213" s="2">
        <v>46053</v>
      </c>
      <c r="C213" t="s">
        <v>66</v>
      </c>
      <c r="D213" t="s">
        <v>67</v>
      </c>
      <c r="E213" t="s">
        <v>44</v>
      </c>
      <c r="F213" t="s">
        <v>20</v>
      </c>
      <c r="G213" t="s">
        <v>39</v>
      </c>
      <c r="H213" t="s">
        <v>30</v>
      </c>
      <c r="I213">
        <v>1</v>
      </c>
      <c r="J213" s="3">
        <v>175600</v>
      </c>
      <c r="K213" s="3">
        <v>228500</v>
      </c>
      <c r="L213" s="3">
        <v>228500</v>
      </c>
      <c r="M213" s="3">
        <v>52900</v>
      </c>
      <c r="N213" t="s">
        <v>31</v>
      </c>
      <c r="O213" t="s">
        <v>24</v>
      </c>
      <c r="P213">
        <v>180</v>
      </c>
    </row>
    <row r="214" spans="1:16" hidden="1" x14ac:dyDescent="0.35">
      <c r="A214" t="s">
        <v>297</v>
      </c>
      <c r="B214" s="2">
        <v>46107</v>
      </c>
      <c r="C214" t="s">
        <v>87</v>
      </c>
      <c r="D214" t="s">
        <v>88</v>
      </c>
      <c r="E214" t="s">
        <v>75</v>
      </c>
      <c r="F214" t="s">
        <v>76</v>
      </c>
      <c r="G214" t="s">
        <v>21</v>
      </c>
      <c r="H214" t="s">
        <v>30</v>
      </c>
      <c r="I214">
        <v>-1</v>
      </c>
      <c r="J214" s="3">
        <v>30000</v>
      </c>
      <c r="K214" s="3">
        <v>38200</v>
      </c>
      <c r="L214" s="3">
        <v>-38200</v>
      </c>
      <c r="M214" s="3">
        <v>-8200</v>
      </c>
      <c r="N214" t="s">
        <v>37</v>
      </c>
      <c r="O214" t="s">
        <v>60</v>
      </c>
      <c r="P214">
        <v>90</v>
      </c>
    </row>
    <row r="215" spans="1:16" x14ac:dyDescent="0.35">
      <c r="A215" t="s">
        <v>298</v>
      </c>
      <c r="B215" s="2">
        <v>46072</v>
      </c>
      <c r="C215" t="s">
        <v>90</v>
      </c>
      <c r="D215" t="s">
        <v>91</v>
      </c>
      <c r="E215" t="s">
        <v>19</v>
      </c>
      <c r="F215" t="s">
        <v>92</v>
      </c>
      <c r="G215" t="s">
        <v>29</v>
      </c>
      <c r="H215" t="s">
        <v>22</v>
      </c>
      <c r="I215">
        <v>1</v>
      </c>
      <c r="J215" s="3">
        <v>285800</v>
      </c>
      <c r="K215" s="3">
        <v>336500</v>
      </c>
      <c r="L215" s="3">
        <v>336500</v>
      </c>
      <c r="M215" s="3">
        <v>50700</v>
      </c>
      <c r="N215" t="s">
        <v>40</v>
      </c>
      <c r="O215" t="s">
        <v>24</v>
      </c>
      <c r="P215">
        <v>180</v>
      </c>
    </row>
    <row r="216" spans="1:16" hidden="1" x14ac:dyDescent="0.35">
      <c r="A216" t="s">
        <v>299</v>
      </c>
      <c r="B216" s="2">
        <v>46280</v>
      </c>
      <c r="C216" t="s">
        <v>119</v>
      </c>
      <c r="D216" t="s">
        <v>120</v>
      </c>
      <c r="E216" t="s">
        <v>54</v>
      </c>
      <c r="F216" t="s">
        <v>83</v>
      </c>
      <c r="G216" t="s">
        <v>29</v>
      </c>
      <c r="H216" t="s">
        <v>35</v>
      </c>
      <c r="I216">
        <v>3</v>
      </c>
      <c r="J216" s="3">
        <v>31700</v>
      </c>
      <c r="K216" s="3">
        <v>36600</v>
      </c>
      <c r="L216" s="3">
        <v>109800</v>
      </c>
      <c r="M216" s="3">
        <v>14700</v>
      </c>
      <c r="N216" t="s">
        <v>23</v>
      </c>
      <c r="O216" t="s">
        <v>45</v>
      </c>
      <c r="P216">
        <v>30</v>
      </c>
    </row>
    <row r="217" spans="1:16" x14ac:dyDescent="0.35">
      <c r="A217" t="s">
        <v>300</v>
      </c>
      <c r="B217" s="2">
        <v>46172</v>
      </c>
      <c r="C217" t="s">
        <v>33</v>
      </c>
      <c r="D217" t="s">
        <v>34</v>
      </c>
      <c r="E217" t="s">
        <v>19</v>
      </c>
      <c r="F217" t="s">
        <v>20</v>
      </c>
      <c r="G217" t="s">
        <v>21</v>
      </c>
      <c r="H217" t="s">
        <v>30</v>
      </c>
      <c r="I217">
        <v>4</v>
      </c>
      <c r="J217" s="3">
        <v>221800</v>
      </c>
      <c r="K217" s="3">
        <v>275200</v>
      </c>
      <c r="L217" s="3">
        <v>1100800</v>
      </c>
      <c r="M217" s="3">
        <v>213600</v>
      </c>
      <c r="N217" t="s">
        <v>40</v>
      </c>
      <c r="O217" t="s">
        <v>24</v>
      </c>
      <c r="P217">
        <v>180</v>
      </c>
    </row>
    <row r="218" spans="1:16" hidden="1" x14ac:dyDescent="0.35">
      <c r="A218" t="s">
        <v>301</v>
      </c>
      <c r="B218" s="2">
        <v>46261</v>
      </c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50</v>
      </c>
      <c r="I218">
        <v>1</v>
      </c>
      <c r="J218" s="3">
        <v>48400</v>
      </c>
      <c r="K218" s="3">
        <v>56100</v>
      </c>
      <c r="L218" s="3">
        <v>56100</v>
      </c>
      <c r="M218" s="3">
        <v>7700</v>
      </c>
      <c r="N218" t="s">
        <v>23</v>
      </c>
      <c r="O218" t="s">
        <v>24</v>
      </c>
      <c r="P218">
        <v>90</v>
      </c>
    </row>
    <row r="219" spans="1:16" hidden="1" x14ac:dyDescent="0.35">
      <c r="A219" t="s">
        <v>302</v>
      </c>
      <c r="B219" s="2">
        <v>46234</v>
      </c>
      <c r="C219" t="s">
        <v>57</v>
      </c>
      <c r="D219" t="s">
        <v>58</v>
      </c>
      <c r="E219" t="s">
        <v>49</v>
      </c>
      <c r="F219" t="s">
        <v>59</v>
      </c>
      <c r="G219" t="s">
        <v>21</v>
      </c>
      <c r="H219" t="s">
        <v>35</v>
      </c>
      <c r="I219">
        <v>2</v>
      </c>
      <c r="J219" s="3">
        <v>108500</v>
      </c>
      <c r="K219" s="3">
        <v>133800</v>
      </c>
      <c r="L219" s="3">
        <v>267600</v>
      </c>
      <c r="M219" s="3">
        <v>50600</v>
      </c>
      <c r="N219" t="s">
        <v>23</v>
      </c>
      <c r="O219" t="s">
        <v>24</v>
      </c>
      <c r="P219">
        <v>90</v>
      </c>
    </row>
    <row r="220" spans="1:16" hidden="1" x14ac:dyDescent="0.35">
      <c r="A220" t="s">
        <v>303</v>
      </c>
      <c r="B220" s="2">
        <v>46154</v>
      </c>
      <c r="C220" t="s">
        <v>52</v>
      </c>
      <c r="D220" t="s">
        <v>53</v>
      </c>
      <c r="E220" t="s">
        <v>54</v>
      </c>
      <c r="F220" t="s">
        <v>55</v>
      </c>
      <c r="G220" t="s">
        <v>39</v>
      </c>
      <c r="H220" t="s">
        <v>35</v>
      </c>
      <c r="I220">
        <v>1</v>
      </c>
      <c r="J220" s="3">
        <v>25700</v>
      </c>
      <c r="K220" s="3">
        <v>29700</v>
      </c>
      <c r="L220" s="3">
        <v>29700</v>
      </c>
      <c r="M220" s="3">
        <v>4000</v>
      </c>
      <c r="N220" t="s">
        <v>37</v>
      </c>
      <c r="O220" t="s">
        <v>24</v>
      </c>
      <c r="P220">
        <v>30</v>
      </c>
    </row>
    <row r="221" spans="1:16" x14ac:dyDescent="0.35">
      <c r="A221" t="s">
        <v>304</v>
      </c>
      <c r="B221" s="2">
        <v>46032</v>
      </c>
      <c r="C221" t="s">
        <v>66</v>
      </c>
      <c r="D221" t="s">
        <v>67</v>
      </c>
      <c r="E221" t="s">
        <v>44</v>
      </c>
      <c r="F221" t="s">
        <v>20</v>
      </c>
      <c r="G221" t="s">
        <v>77</v>
      </c>
      <c r="H221" t="s">
        <v>35</v>
      </c>
      <c r="I221">
        <v>-1</v>
      </c>
      <c r="J221" s="3">
        <v>219100</v>
      </c>
      <c r="K221" s="3">
        <v>257100</v>
      </c>
      <c r="L221" s="3">
        <v>-257100</v>
      </c>
      <c r="M221" s="3">
        <v>-38000</v>
      </c>
      <c r="N221" t="s">
        <v>40</v>
      </c>
      <c r="O221" t="s">
        <v>60</v>
      </c>
      <c r="P221">
        <v>180</v>
      </c>
    </row>
    <row r="222" spans="1:16" hidden="1" x14ac:dyDescent="0.35">
      <c r="A222" t="s">
        <v>305</v>
      </c>
      <c r="B222" s="2">
        <v>46186</v>
      </c>
      <c r="C222" t="s">
        <v>101</v>
      </c>
      <c r="D222" t="s">
        <v>102</v>
      </c>
      <c r="E222" t="s">
        <v>19</v>
      </c>
      <c r="F222" t="s">
        <v>83</v>
      </c>
      <c r="G222" t="s">
        <v>39</v>
      </c>
      <c r="H222" t="s">
        <v>35</v>
      </c>
      <c r="I222">
        <v>-1</v>
      </c>
      <c r="J222" s="3">
        <v>273500</v>
      </c>
      <c r="K222" s="3">
        <v>331800</v>
      </c>
      <c r="L222" s="3">
        <v>-331800</v>
      </c>
      <c r="M222" s="3">
        <v>-58300</v>
      </c>
      <c r="N222" t="s">
        <v>31</v>
      </c>
      <c r="O222" t="s">
        <v>60</v>
      </c>
      <c r="P222">
        <v>180</v>
      </c>
    </row>
    <row r="223" spans="1:16" x14ac:dyDescent="0.35">
      <c r="A223" t="s">
        <v>306</v>
      </c>
      <c r="B223" s="2">
        <v>46218</v>
      </c>
      <c r="C223" t="s">
        <v>69</v>
      </c>
      <c r="D223" t="s">
        <v>70</v>
      </c>
      <c r="E223" t="s">
        <v>54</v>
      </c>
      <c r="F223" t="s">
        <v>64</v>
      </c>
      <c r="G223" t="s">
        <v>21</v>
      </c>
      <c r="H223" t="s">
        <v>30</v>
      </c>
      <c r="I223">
        <v>1</v>
      </c>
      <c r="J223" s="3">
        <v>13200</v>
      </c>
      <c r="K223" s="3">
        <v>17300</v>
      </c>
      <c r="L223" s="3">
        <v>17300</v>
      </c>
      <c r="M223" s="3">
        <v>4100</v>
      </c>
      <c r="N223" t="s">
        <v>40</v>
      </c>
      <c r="O223" t="s">
        <v>45</v>
      </c>
      <c r="P223">
        <v>30</v>
      </c>
    </row>
    <row r="224" spans="1:16" hidden="1" x14ac:dyDescent="0.35">
      <c r="A224" t="s">
        <v>307</v>
      </c>
      <c r="B224" s="2">
        <v>46255</v>
      </c>
      <c r="C224" t="s">
        <v>66</v>
      </c>
      <c r="D224" t="s">
        <v>67</v>
      </c>
      <c r="E224" t="s">
        <v>44</v>
      </c>
      <c r="F224" t="s">
        <v>20</v>
      </c>
      <c r="G224" t="s">
        <v>77</v>
      </c>
      <c r="H224" t="s">
        <v>22</v>
      </c>
      <c r="I224">
        <v>-2</v>
      </c>
      <c r="J224" s="3">
        <v>244800</v>
      </c>
      <c r="K224" s="3">
        <v>303300</v>
      </c>
      <c r="L224" s="3">
        <v>-606600</v>
      </c>
      <c r="M224" s="3">
        <v>-117000</v>
      </c>
      <c r="N224" t="s">
        <v>23</v>
      </c>
      <c r="O224" t="s">
        <v>60</v>
      </c>
      <c r="P224">
        <v>180</v>
      </c>
    </row>
    <row r="225" spans="1:16" hidden="1" x14ac:dyDescent="0.35">
      <c r="A225" t="s">
        <v>308</v>
      </c>
      <c r="B225" s="2">
        <v>46103</v>
      </c>
      <c r="C225" t="s">
        <v>101</v>
      </c>
      <c r="D225" t="s">
        <v>102</v>
      </c>
      <c r="E225" t="s">
        <v>19</v>
      </c>
      <c r="F225" t="s">
        <v>83</v>
      </c>
      <c r="G225" t="s">
        <v>29</v>
      </c>
      <c r="H225" t="s">
        <v>35</v>
      </c>
      <c r="I225">
        <v>-1</v>
      </c>
      <c r="J225" s="3">
        <v>296000</v>
      </c>
      <c r="K225" s="3">
        <v>385000</v>
      </c>
      <c r="L225" s="3">
        <v>-385000</v>
      </c>
      <c r="M225" s="3">
        <v>-89000</v>
      </c>
      <c r="N225" t="s">
        <v>37</v>
      </c>
      <c r="O225" t="s">
        <v>60</v>
      </c>
      <c r="P225">
        <v>180</v>
      </c>
    </row>
    <row r="226" spans="1:16" x14ac:dyDescent="0.35">
      <c r="A226" t="s">
        <v>309</v>
      </c>
      <c r="B226" s="2">
        <v>46255</v>
      </c>
      <c r="C226" t="s">
        <v>17</v>
      </c>
      <c r="D226" t="s">
        <v>18</v>
      </c>
      <c r="E226" t="s">
        <v>19</v>
      </c>
      <c r="F226" t="s">
        <v>20</v>
      </c>
      <c r="G226" t="s">
        <v>39</v>
      </c>
      <c r="H226" t="s">
        <v>30</v>
      </c>
      <c r="I226">
        <v>-1</v>
      </c>
      <c r="J226" s="3">
        <v>275200</v>
      </c>
      <c r="K226" s="3">
        <v>347700</v>
      </c>
      <c r="L226" s="3">
        <v>-347700</v>
      </c>
      <c r="M226" s="3">
        <v>-72500</v>
      </c>
      <c r="N226" t="s">
        <v>40</v>
      </c>
      <c r="O226" t="s">
        <v>60</v>
      </c>
      <c r="P226">
        <v>180</v>
      </c>
    </row>
    <row r="227" spans="1:16" hidden="1" x14ac:dyDescent="0.35">
      <c r="A227" t="s">
        <v>310</v>
      </c>
      <c r="B227" s="2">
        <v>46038</v>
      </c>
      <c r="C227" t="s">
        <v>73</v>
      </c>
      <c r="D227" t="s">
        <v>74</v>
      </c>
      <c r="E227" t="s">
        <v>75</v>
      </c>
      <c r="F227" t="s">
        <v>76</v>
      </c>
      <c r="G227" t="s">
        <v>21</v>
      </c>
      <c r="H227" t="s">
        <v>35</v>
      </c>
      <c r="I227">
        <v>2</v>
      </c>
      <c r="J227" s="3">
        <v>45800</v>
      </c>
      <c r="K227" s="3">
        <v>56500</v>
      </c>
      <c r="L227" s="3">
        <v>113000</v>
      </c>
      <c r="M227" s="3">
        <v>21400</v>
      </c>
      <c r="N227" t="s">
        <v>23</v>
      </c>
      <c r="O227" t="s">
        <v>24</v>
      </c>
      <c r="P227">
        <v>90</v>
      </c>
    </row>
    <row r="228" spans="1:16" hidden="1" x14ac:dyDescent="0.35">
      <c r="A228" t="s">
        <v>311</v>
      </c>
      <c r="B228" s="2">
        <v>46057</v>
      </c>
      <c r="C228" t="s">
        <v>90</v>
      </c>
      <c r="D228" t="s">
        <v>91</v>
      </c>
      <c r="E228" t="s">
        <v>19</v>
      </c>
      <c r="F228" t="s">
        <v>92</v>
      </c>
      <c r="G228" t="s">
        <v>39</v>
      </c>
      <c r="H228" t="s">
        <v>30</v>
      </c>
      <c r="I228">
        <v>1</v>
      </c>
      <c r="J228" s="3">
        <v>261000</v>
      </c>
      <c r="K228" s="3">
        <v>294700</v>
      </c>
      <c r="L228" s="3">
        <v>294700</v>
      </c>
      <c r="M228" s="3">
        <v>33700</v>
      </c>
      <c r="N228" t="s">
        <v>23</v>
      </c>
      <c r="O228" t="s">
        <v>24</v>
      </c>
      <c r="P228">
        <v>180</v>
      </c>
    </row>
    <row r="229" spans="1:16" hidden="1" x14ac:dyDescent="0.35">
      <c r="A229" t="s">
        <v>312</v>
      </c>
      <c r="B229" s="2">
        <v>46218</v>
      </c>
      <c r="C229" t="s">
        <v>42</v>
      </c>
      <c r="D229" t="s">
        <v>43</v>
      </c>
      <c r="E229" t="s">
        <v>44</v>
      </c>
      <c r="F229" t="s">
        <v>28</v>
      </c>
      <c r="G229" t="s">
        <v>21</v>
      </c>
      <c r="H229" t="s">
        <v>30</v>
      </c>
      <c r="I229">
        <v>2</v>
      </c>
      <c r="J229" s="3">
        <v>215000</v>
      </c>
      <c r="K229" s="3">
        <v>273900</v>
      </c>
      <c r="L229" s="3">
        <v>547800</v>
      </c>
      <c r="M229" s="3">
        <v>117800</v>
      </c>
      <c r="N229" t="s">
        <v>37</v>
      </c>
      <c r="O229" t="s">
        <v>45</v>
      </c>
      <c r="P229">
        <v>180</v>
      </c>
    </row>
    <row r="230" spans="1:16" hidden="1" x14ac:dyDescent="0.35">
      <c r="A230" t="s">
        <v>313</v>
      </c>
      <c r="B230" s="2">
        <v>46205</v>
      </c>
      <c r="C230" t="s">
        <v>52</v>
      </c>
      <c r="D230" t="s">
        <v>53</v>
      </c>
      <c r="E230" t="s">
        <v>54</v>
      </c>
      <c r="F230" t="s">
        <v>55</v>
      </c>
      <c r="G230" t="s">
        <v>39</v>
      </c>
      <c r="H230" t="s">
        <v>50</v>
      </c>
      <c r="I230">
        <v>3</v>
      </c>
      <c r="J230" s="3">
        <v>9200</v>
      </c>
      <c r="K230" s="3">
        <v>12100</v>
      </c>
      <c r="L230" s="3">
        <v>36300</v>
      </c>
      <c r="M230" s="3">
        <v>8700</v>
      </c>
      <c r="N230" t="s">
        <v>37</v>
      </c>
      <c r="O230" t="s">
        <v>24</v>
      </c>
      <c r="P230">
        <v>30</v>
      </c>
    </row>
    <row r="231" spans="1:16" hidden="1" x14ac:dyDescent="0.35">
      <c r="A231" t="s">
        <v>314</v>
      </c>
      <c r="B231" s="2">
        <v>46179</v>
      </c>
      <c r="C231" t="s">
        <v>73</v>
      </c>
      <c r="D231" t="s">
        <v>74</v>
      </c>
      <c r="E231" t="s">
        <v>75</v>
      </c>
      <c r="F231" t="s">
        <v>76</v>
      </c>
      <c r="G231" t="s">
        <v>21</v>
      </c>
      <c r="H231" t="s">
        <v>30</v>
      </c>
      <c r="I231">
        <v>3</v>
      </c>
      <c r="J231" s="3">
        <v>31400</v>
      </c>
      <c r="K231" s="3">
        <v>41300</v>
      </c>
      <c r="L231" s="3">
        <v>123900</v>
      </c>
      <c r="M231" s="3">
        <v>29700</v>
      </c>
      <c r="N231" t="s">
        <v>37</v>
      </c>
      <c r="O231" t="s">
        <v>24</v>
      </c>
      <c r="P231">
        <v>90</v>
      </c>
    </row>
    <row r="232" spans="1:16" x14ac:dyDescent="0.35">
      <c r="A232" t="s">
        <v>315</v>
      </c>
      <c r="B232" s="2">
        <v>46043</v>
      </c>
      <c r="C232" t="s">
        <v>66</v>
      </c>
      <c r="D232" t="s">
        <v>67</v>
      </c>
      <c r="E232" t="s">
        <v>44</v>
      </c>
      <c r="F232" t="s">
        <v>20</v>
      </c>
      <c r="G232" t="s">
        <v>21</v>
      </c>
      <c r="H232" t="s">
        <v>22</v>
      </c>
      <c r="I232">
        <v>1</v>
      </c>
      <c r="J232" s="3">
        <v>197200</v>
      </c>
      <c r="K232" s="3">
        <v>234500</v>
      </c>
      <c r="L232" s="3">
        <v>234500</v>
      </c>
      <c r="M232" s="3">
        <v>37300</v>
      </c>
      <c r="N232" t="s">
        <v>40</v>
      </c>
      <c r="O232" t="s">
        <v>24</v>
      </c>
      <c r="P232">
        <v>180</v>
      </c>
    </row>
    <row r="233" spans="1:16" hidden="1" x14ac:dyDescent="0.35">
      <c r="A233" t="s">
        <v>316</v>
      </c>
      <c r="B233" s="2">
        <v>46152</v>
      </c>
      <c r="C233" t="s">
        <v>90</v>
      </c>
      <c r="D233" t="s">
        <v>91</v>
      </c>
      <c r="E233" t="s">
        <v>19</v>
      </c>
      <c r="F233" t="s">
        <v>92</v>
      </c>
      <c r="G233" t="s">
        <v>39</v>
      </c>
      <c r="H233" t="s">
        <v>30</v>
      </c>
      <c r="I233">
        <v>1</v>
      </c>
      <c r="J233" s="3">
        <v>189400</v>
      </c>
      <c r="K233" s="3">
        <v>234600</v>
      </c>
      <c r="L233" s="3">
        <v>234600</v>
      </c>
      <c r="M233" s="3">
        <v>45200</v>
      </c>
      <c r="N233" t="s">
        <v>37</v>
      </c>
      <c r="O233" t="s">
        <v>24</v>
      </c>
      <c r="P233">
        <v>180</v>
      </c>
    </row>
    <row r="234" spans="1:16" hidden="1" x14ac:dyDescent="0.35">
      <c r="A234" t="s">
        <v>317</v>
      </c>
      <c r="B234" s="2">
        <v>46284</v>
      </c>
      <c r="C234" t="s">
        <v>66</v>
      </c>
      <c r="D234" t="s">
        <v>67</v>
      </c>
      <c r="E234" t="s">
        <v>44</v>
      </c>
      <c r="F234" t="s">
        <v>20</v>
      </c>
      <c r="G234" t="s">
        <v>77</v>
      </c>
      <c r="H234" t="s">
        <v>50</v>
      </c>
      <c r="I234">
        <v>2</v>
      </c>
      <c r="J234" s="3">
        <v>229400</v>
      </c>
      <c r="K234" s="3">
        <v>291500</v>
      </c>
      <c r="L234" s="3">
        <v>583000</v>
      </c>
      <c r="M234" s="3">
        <v>124200</v>
      </c>
      <c r="N234" t="s">
        <v>31</v>
      </c>
      <c r="O234" t="s">
        <v>24</v>
      </c>
      <c r="P234">
        <v>180</v>
      </c>
    </row>
    <row r="235" spans="1:16" hidden="1" x14ac:dyDescent="0.35">
      <c r="A235" t="s">
        <v>318</v>
      </c>
      <c r="B235" s="2">
        <v>46100</v>
      </c>
      <c r="C235" t="s">
        <v>104</v>
      </c>
      <c r="D235" t="s">
        <v>105</v>
      </c>
      <c r="E235" t="s">
        <v>106</v>
      </c>
      <c r="F235" t="s">
        <v>76</v>
      </c>
      <c r="G235" t="s">
        <v>29</v>
      </c>
      <c r="H235" t="s">
        <v>30</v>
      </c>
      <c r="I235">
        <v>1</v>
      </c>
      <c r="J235" s="3">
        <v>40100</v>
      </c>
      <c r="K235" s="3">
        <v>50300</v>
      </c>
      <c r="L235" s="3">
        <v>50300</v>
      </c>
      <c r="M235" s="3">
        <v>10200</v>
      </c>
      <c r="N235" t="s">
        <v>31</v>
      </c>
      <c r="O235" t="s">
        <v>24</v>
      </c>
      <c r="P235">
        <v>90</v>
      </c>
    </row>
    <row r="236" spans="1:16" hidden="1" x14ac:dyDescent="0.35">
      <c r="A236" t="s">
        <v>319</v>
      </c>
      <c r="B236" s="2">
        <v>46245</v>
      </c>
      <c r="C236" t="s">
        <v>81</v>
      </c>
      <c r="D236" t="s">
        <v>82</v>
      </c>
      <c r="E236" t="s">
        <v>44</v>
      </c>
      <c r="F236" t="s">
        <v>83</v>
      </c>
      <c r="G236" t="s">
        <v>21</v>
      </c>
      <c r="H236" t="s">
        <v>22</v>
      </c>
      <c r="I236">
        <v>3</v>
      </c>
      <c r="J236" s="3">
        <v>176700</v>
      </c>
      <c r="K236" s="3">
        <v>231400</v>
      </c>
      <c r="L236" s="3">
        <v>694200</v>
      </c>
      <c r="M236" s="3">
        <v>164100</v>
      </c>
      <c r="N236" t="s">
        <v>31</v>
      </c>
      <c r="O236" t="s">
        <v>24</v>
      </c>
      <c r="P236">
        <v>180</v>
      </c>
    </row>
    <row r="237" spans="1:16" hidden="1" x14ac:dyDescent="0.35">
      <c r="A237" t="s">
        <v>320</v>
      </c>
      <c r="B237" s="2">
        <v>46180</v>
      </c>
      <c r="C237" t="s">
        <v>52</v>
      </c>
      <c r="D237" t="s">
        <v>53</v>
      </c>
      <c r="E237" t="s">
        <v>54</v>
      </c>
      <c r="F237" t="s">
        <v>55</v>
      </c>
      <c r="G237" t="s">
        <v>21</v>
      </c>
      <c r="H237" t="s">
        <v>50</v>
      </c>
      <c r="I237">
        <v>1</v>
      </c>
      <c r="J237" s="3">
        <v>29000</v>
      </c>
      <c r="K237" s="3">
        <v>34300</v>
      </c>
      <c r="L237" s="3">
        <v>34300</v>
      </c>
      <c r="M237" s="3">
        <v>5300</v>
      </c>
      <c r="N237" t="s">
        <v>37</v>
      </c>
      <c r="O237" t="s">
        <v>24</v>
      </c>
      <c r="P237">
        <v>30</v>
      </c>
    </row>
    <row r="238" spans="1:16" x14ac:dyDescent="0.35">
      <c r="A238" t="s">
        <v>321</v>
      </c>
      <c r="B238" s="2">
        <v>46056</v>
      </c>
      <c r="C238" t="s">
        <v>66</v>
      </c>
      <c r="D238" t="s">
        <v>67</v>
      </c>
      <c r="E238" t="s">
        <v>44</v>
      </c>
      <c r="F238" t="s">
        <v>20</v>
      </c>
      <c r="G238" t="s">
        <v>21</v>
      </c>
      <c r="H238" t="s">
        <v>30</v>
      </c>
      <c r="I238">
        <v>2</v>
      </c>
      <c r="J238" s="3">
        <v>263400</v>
      </c>
      <c r="K238" s="3">
        <v>310900</v>
      </c>
      <c r="L238" s="3">
        <v>621800</v>
      </c>
      <c r="M238" s="3">
        <v>95000</v>
      </c>
      <c r="N238" t="s">
        <v>40</v>
      </c>
      <c r="O238" t="s">
        <v>45</v>
      </c>
      <c r="P238">
        <v>180</v>
      </c>
    </row>
    <row r="239" spans="1:16" hidden="1" x14ac:dyDescent="0.35">
      <c r="A239" t="s">
        <v>322</v>
      </c>
      <c r="B239" s="2">
        <v>46216</v>
      </c>
      <c r="C239" t="s">
        <v>52</v>
      </c>
      <c r="D239" t="s">
        <v>53</v>
      </c>
      <c r="E239" t="s">
        <v>54</v>
      </c>
      <c r="F239" t="s">
        <v>55</v>
      </c>
      <c r="G239" t="s">
        <v>39</v>
      </c>
      <c r="H239" t="s">
        <v>50</v>
      </c>
      <c r="I239">
        <v>2</v>
      </c>
      <c r="J239" s="3">
        <v>13800</v>
      </c>
      <c r="K239" s="3">
        <v>16000</v>
      </c>
      <c r="L239" s="3">
        <v>32000</v>
      </c>
      <c r="M239" s="3">
        <v>4400</v>
      </c>
      <c r="N239" t="s">
        <v>23</v>
      </c>
      <c r="O239" t="s">
        <v>45</v>
      </c>
      <c r="P239">
        <v>30</v>
      </c>
    </row>
    <row r="240" spans="1:16" x14ac:dyDescent="0.35">
      <c r="A240" t="s">
        <v>323</v>
      </c>
      <c r="B240" s="2">
        <v>46123</v>
      </c>
      <c r="C240" t="s">
        <v>81</v>
      </c>
      <c r="D240" t="s">
        <v>82</v>
      </c>
      <c r="E240" t="s">
        <v>44</v>
      </c>
      <c r="F240" t="s">
        <v>83</v>
      </c>
      <c r="G240" t="s">
        <v>29</v>
      </c>
      <c r="H240" t="s">
        <v>30</v>
      </c>
      <c r="I240">
        <v>1</v>
      </c>
      <c r="J240" s="3">
        <v>211500</v>
      </c>
      <c r="K240" s="3">
        <v>262500</v>
      </c>
      <c r="L240" s="3">
        <v>262500</v>
      </c>
      <c r="M240" s="3">
        <v>51000</v>
      </c>
      <c r="N240" t="s">
        <v>40</v>
      </c>
      <c r="O240" t="s">
        <v>24</v>
      </c>
      <c r="P240">
        <v>180</v>
      </c>
    </row>
    <row r="241" spans="1:16" x14ac:dyDescent="0.35">
      <c r="A241" t="s">
        <v>324</v>
      </c>
      <c r="B241" s="2">
        <v>46087</v>
      </c>
      <c r="C241" t="s">
        <v>57</v>
      </c>
      <c r="D241" t="s">
        <v>58</v>
      </c>
      <c r="E241" t="s">
        <v>49</v>
      </c>
      <c r="F241" t="s">
        <v>59</v>
      </c>
      <c r="G241" t="s">
        <v>21</v>
      </c>
      <c r="H241" t="s">
        <v>50</v>
      </c>
      <c r="I241">
        <v>1</v>
      </c>
      <c r="J241" s="3">
        <v>81700</v>
      </c>
      <c r="K241" s="3">
        <v>106400</v>
      </c>
      <c r="L241" s="3">
        <v>106400</v>
      </c>
      <c r="M241" s="3">
        <v>24700</v>
      </c>
      <c r="N241" t="s">
        <v>40</v>
      </c>
      <c r="O241" t="s">
        <v>24</v>
      </c>
      <c r="P241">
        <v>90</v>
      </c>
    </row>
    <row r="242" spans="1:16" hidden="1" x14ac:dyDescent="0.35">
      <c r="A242" t="s">
        <v>325</v>
      </c>
      <c r="B242" s="2">
        <v>46265</v>
      </c>
      <c r="C242" t="s">
        <v>52</v>
      </c>
      <c r="D242" t="s">
        <v>53</v>
      </c>
      <c r="E242" t="s">
        <v>54</v>
      </c>
      <c r="F242" t="s">
        <v>55</v>
      </c>
      <c r="G242" t="s">
        <v>77</v>
      </c>
      <c r="H242" t="s">
        <v>35</v>
      </c>
      <c r="I242">
        <v>2</v>
      </c>
      <c r="J242" s="3">
        <v>32600</v>
      </c>
      <c r="K242" s="3">
        <v>40100</v>
      </c>
      <c r="L242" s="3">
        <v>80200</v>
      </c>
      <c r="M242" s="3">
        <v>15000</v>
      </c>
      <c r="N242" t="s">
        <v>31</v>
      </c>
      <c r="O242" t="s">
        <v>45</v>
      </c>
      <c r="P242">
        <v>30</v>
      </c>
    </row>
    <row r="243" spans="1:16" hidden="1" x14ac:dyDescent="0.35">
      <c r="A243" t="s">
        <v>326</v>
      </c>
      <c r="B243" s="2">
        <v>46190</v>
      </c>
      <c r="C243" t="s">
        <v>47</v>
      </c>
      <c r="D243" t="s">
        <v>48</v>
      </c>
      <c r="E243" t="s">
        <v>49</v>
      </c>
      <c r="F243" t="s">
        <v>20</v>
      </c>
      <c r="G243" t="s">
        <v>29</v>
      </c>
      <c r="H243" t="s">
        <v>35</v>
      </c>
      <c r="I243">
        <v>1</v>
      </c>
      <c r="J243" s="3">
        <v>93200</v>
      </c>
      <c r="K243" s="3">
        <v>113700</v>
      </c>
      <c r="L243" s="3">
        <v>113700</v>
      </c>
      <c r="M243" s="3">
        <v>20500</v>
      </c>
      <c r="N243" t="s">
        <v>31</v>
      </c>
      <c r="O243" t="s">
        <v>45</v>
      </c>
      <c r="P243">
        <v>90</v>
      </c>
    </row>
    <row r="244" spans="1:16" x14ac:dyDescent="0.35">
      <c r="A244" t="s">
        <v>327</v>
      </c>
      <c r="B244" s="2">
        <v>46160</v>
      </c>
      <c r="C244" t="s">
        <v>119</v>
      </c>
      <c r="D244" t="s">
        <v>120</v>
      </c>
      <c r="E244" t="s">
        <v>54</v>
      </c>
      <c r="F244" t="s">
        <v>83</v>
      </c>
      <c r="G244" t="s">
        <v>21</v>
      </c>
      <c r="H244" t="s">
        <v>35</v>
      </c>
      <c r="I244">
        <v>2</v>
      </c>
      <c r="J244" s="3">
        <v>8300</v>
      </c>
      <c r="K244" s="3">
        <v>10700</v>
      </c>
      <c r="L244" s="3">
        <v>21400</v>
      </c>
      <c r="M244" s="3">
        <v>4800</v>
      </c>
      <c r="N244" t="s">
        <v>40</v>
      </c>
      <c r="O244" t="s">
        <v>24</v>
      </c>
      <c r="P244">
        <v>30</v>
      </c>
    </row>
    <row r="245" spans="1:16" hidden="1" x14ac:dyDescent="0.35">
      <c r="A245" t="s">
        <v>328</v>
      </c>
      <c r="B245" s="2">
        <v>46199</v>
      </c>
      <c r="C245" t="s">
        <v>90</v>
      </c>
      <c r="D245" t="s">
        <v>91</v>
      </c>
      <c r="E245" t="s">
        <v>19</v>
      </c>
      <c r="F245" t="s">
        <v>92</v>
      </c>
      <c r="G245" t="s">
        <v>77</v>
      </c>
      <c r="H245" t="s">
        <v>30</v>
      </c>
      <c r="I245">
        <v>3</v>
      </c>
      <c r="J245" s="3">
        <v>226200</v>
      </c>
      <c r="K245" s="3">
        <v>270500</v>
      </c>
      <c r="L245" s="3">
        <v>811500</v>
      </c>
      <c r="M245" s="3">
        <v>132900</v>
      </c>
      <c r="N245" t="s">
        <v>37</v>
      </c>
      <c r="O245" t="s">
        <v>45</v>
      </c>
      <c r="P245">
        <v>180</v>
      </c>
    </row>
    <row r="246" spans="1:16" hidden="1" x14ac:dyDescent="0.35">
      <c r="A246" t="s">
        <v>329</v>
      </c>
      <c r="B246" s="2">
        <v>46277</v>
      </c>
      <c r="C246" t="s">
        <v>62</v>
      </c>
      <c r="D246" t="s">
        <v>63</v>
      </c>
      <c r="E246" t="s">
        <v>54</v>
      </c>
      <c r="F246" t="s">
        <v>64</v>
      </c>
      <c r="G246" t="s">
        <v>29</v>
      </c>
      <c r="H246" t="s">
        <v>22</v>
      </c>
      <c r="I246">
        <v>-1</v>
      </c>
      <c r="J246" s="3">
        <v>11700</v>
      </c>
      <c r="K246" s="3">
        <v>15000</v>
      </c>
      <c r="L246" s="3">
        <v>-15000</v>
      </c>
      <c r="M246" s="3">
        <v>-3300</v>
      </c>
      <c r="N246" t="s">
        <v>23</v>
      </c>
      <c r="O246" t="s">
        <v>60</v>
      </c>
      <c r="P246">
        <v>30</v>
      </c>
    </row>
    <row r="247" spans="1:16" x14ac:dyDescent="0.35">
      <c r="A247" t="s">
        <v>330</v>
      </c>
      <c r="B247" s="2">
        <v>46097</v>
      </c>
      <c r="C247" t="s">
        <v>26</v>
      </c>
      <c r="D247" t="s">
        <v>27</v>
      </c>
      <c r="E247" t="s">
        <v>19</v>
      </c>
      <c r="F247" t="s">
        <v>28</v>
      </c>
      <c r="G247" t="s">
        <v>29</v>
      </c>
      <c r="H247" t="s">
        <v>22</v>
      </c>
      <c r="I247">
        <v>2</v>
      </c>
      <c r="J247" s="3">
        <v>312300</v>
      </c>
      <c r="K247" s="3">
        <v>391500</v>
      </c>
      <c r="L247" s="3">
        <v>783000</v>
      </c>
      <c r="M247" s="3">
        <v>158400</v>
      </c>
      <c r="N247" t="s">
        <v>40</v>
      </c>
      <c r="O247" t="s">
        <v>45</v>
      </c>
      <c r="P247">
        <v>180</v>
      </c>
    </row>
    <row r="248" spans="1:16" hidden="1" x14ac:dyDescent="0.35">
      <c r="A248" t="s">
        <v>331</v>
      </c>
      <c r="B248" s="2">
        <v>46274</v>
      </c>
      <c r="C248" t="s">
        <v>33</v>
      </c>
      <c r="D248" t="s">
        <v>34</v>
      </c>
      <c r="E248" t="s">
        <v>19</v>
      </c>
      <c r="F248" t="s">
        <v>20</v>
      </c>
      <c r="G248" t="s">
        <v>21</v>
      </c>
      <c r="H248" t="s">
        <v>22</v>
      </c>
      <c r="I248">
        <v>-1</v>
      </c>
      <c r="J248" s="3">
        <v>210600</v>
      </c>
      <c r="K248" s="3">
        <v>255100</v>
      </c>
      <c r="L248" s="3">
        <v>-255100</v>
      </c>
      <c r="M248" s="3">
        <v>-44500</v>
      </c>
      <c r="N248" t="s">
        <v>23</v>
      </c>
      <c r="O248" t="s">
        <v>60</v>
      </c>
      <c r="P248">
        <v>180</v>
      </c>
    </row>
    <row r="249" spans="1:16" x14ac:dyDescent="0.35">
      <c r="A249" t="s">
        <v>332</v>
      </c>
      <c r="B249" s="2">
        <v>46173</v>
      </c>
      <c r="C249" t="s">
        <v>134</v>
      </c>
      <c r="D249" t="s">
        <v>135</v>
      </c>
      <c r="E249" t="s">
        <v>106</v>
      </c>
      <c r="F249" t="s">
        <v>76</v>
      </c>
      <c r="G249" t="s">
        <v>39</v>
      </c>
      <c r="H249" t="s">
        <v>30</v>
      </c>
      <c r="I249">
        <v>1</v>
      </c>
      <c r="J249" s="3">
        <v>38400</v>
      </c>
      <c r="K249" s="3">
        <v>43100</v>
      </c>
      <c r="L249" s="3">
        <v>43100</v>
      </c>
      <c r="M249" s="3">
        <v>4700</v>
      </c>
      <c r="N249" t="s">
        <v>40</v>
      </c>
      <c r="O249" t="s">
        <v>24</v>
      </c>
      <c r="P249">
        <v>90</v>
      </c>
    </row>
    <row r="250" spans="1:16" hidden="1" x14ac:dyDescent="0.35">
      <c r="A250" t="s">
        <v>333</v>
      </c>
      <c r="B250" s="2">
        <v>46296</v>
      </c>
      <c r="C250" t="s">
        <v>17</v>
      </c>
      <c r="D250" t="s">
        <v>18</v>
      </c>
      <c r="E250" t="s">
        <v>19</v>
      </c>
      <c r="F250" t="s">
        <v>20</v>
      </c>
      <c r="G250" t="s">
        <v>77</v>
      </c>
      <c r="H250" t="s">
        <v>35</v>
      </c>
      <c r="I250">
        <v>-1</v>
      </c>
      <c r="J250" s="3">
        <v>308500</v>
      </c>
      <c r="K250" s="3">
        <v>377900</v>
      </c>
      <c r="L250" s="3">
        <v>-377900</v>
      </c>
      <c r="M250" s="3">
        <v>-69400</v>
      </c>
      <c r="N250" t="s">
        <v>31</v>
      </c>
      <c r="O250" t="s">
        <v>60</v>
      </c>
      <c r="P250">
        <v>180</v>
      </c>
    </row>
    <row r="251" spans="1:16" hidden="1" x14ac:dyDescent="0.35">
      <c r="A251" t="s">
        <v>334</v>
      </c>
      <c r="B251" s="2">
        <v>46142</v>
      </c>
      <c r="C251" t="s">
        <v>52</v>
      </c>
      <c r="D251" t="s">
        <v>53</v>
      </c>
      <c r="E251" t="s">
        <v>54</v>
      </c>
      <c r="F251" t="s">
        <v>55</v>
      </c>
      <c r="G251" t="s">
        <v>77</v>
      </c>
      <c r="H251" t="s">
        <v>22</v>
      </c>
      <c r="I251">
        <v>1</v>
      </c>
      <c r="J251" s="3">
        <v>9200</v>
      </c>
      <c r="K251" s="3">
        <v>12100</v>
      </c>
      <c r="L251" s="3">
        <v>12100</v>
      </c>
      <c r="M251" s="3">
        <v>2900</v>
      </c>
      <c r="N251" t="s">
        <v>23</v>
      </c>
      <c r="O251" t="s">
        <v>24</v>
      </c>
      <c r="P251">
        <v>30</v>
      </c>
    </row>
    <row r="252" spans="1:16" hidden="1" x14ac:dyDescent="0.35">
      <c r="A252" t="s">
        <v>335</v>
      </c>
      <c r="B252" s="2">
        <v>46114</v>
      </c>
      <c r="C252" t="s">
        <v>26</v>
      </c>
      <c r="D252" t="s">
        <v>27</v>
      </c>
      <c r="E252" t="s">
        <v>19</v>
      </c>
      <c r="F252" t="s">
        <v>28</v>
      </c>
      <c r="G252" t="s">
        <v>39</v>
      </c>
      <c r="H252" t="s">
        <v>30</v>
      </c>
      <c r="I252">
        <v>1</v>
      </c>
      <c r="J252" s="3">
        <v>236700</v>
      </c>
      <c r="K252" s="3">
        <v>283000</v>
      </c>
      <c r="L252" s="3">
        <v>283000</v>
      </c>
      <c r="M252" s="3">
        <v>46300</v>
      </c>
      <c r="N252" t="s">
        <v>37</v>
      </c>
      <c r="O252" t="s">
        <v>24</v>
      </c>
      <c r="P252">
        <v>180</v>
      </c>
    </row>
    <row r="253" spans="1:16" hidden="1" x14ac:dyDescent="0.35">
      <c r="A253" t="s">
        <v>336</v>
      </c>
      <c r="B253" s="2">
        <v>46048</v>
      </c>
      <c r="C253" t="s">
        <v>57</v>
      </c>
      <c r="D253" t="s">
        <v>58</v>
      </c>
      <c r="E253" t="s">
        <v>49</v>
      </c>
      <c r="F253" t="s">
        <v>59</v>
      </c>
      <c r="G253" t="s">
        <v>29</v>
      </c>
      <c r="H253" t="s">
        <v>50</v>
      </c>
      <c r="I253">
        <v>-1</v>
      </c>
      <c r="J253" s="3">
        <v>96100</v>
      </c>
      <c r="K253" s="3">
        <v>124100</v>
      </c>
      <c r="L253" s="3">
        <v>-124100</v>
      </c>
      <c r="M253" s="3">
        <v>-28000</v>
      </c>
      <c r="N253" t="s">
        <v>37</v>
      </c>
      <c r="O253" t="s">
        <v>60</v>
      </c>
      <c r="P253">
        <v>90</v>
      </c>
    </row>
    <row r="254" spans="1:16" hidden="1" x14ac:dyDescent="0.35">
      <c r="A254" t="s">
        <v>337</v>
      </c>
      <c r="B254" s="2">
        <v>46043</v>
      </c>
      <c r="C254" t="s">
        <v>81</v>
      </c>
      <c r="D254" t="s">
        <v>82</v>
      </c>
      <c r="E254" t="s">
        <v>44</v>
      </c>
      <c r="F254" t="s">
        <v>83</v>
      </c>
      <c r="G254" t="s">
        <v>29</v>
      </c>
      <c r="H254" t="s">
        <v>35</v>
      </c>
      <c r="I254">
        <v>-4</v>
      </c>
      <c r="J254" s="3">
        <v>175100</v>
      </c>
      <c r="K254" s="3">
        <v>198700</v>
      </c>
      <c r="L254" s="3">
        <v>-794800</v>
      </c>
      <c r="M254" s="3">
        <v>-94400</v>
      </c>
      <c r="N254" t="s">
        <v>23</v>
      </c>
      <c r="O254" t="s">
        <v>60</v>
      </c>
      <c r="P254">
        <v>180</v>
      </c>
    </row>
    <row r="255" spans="1:16" x14ac:dyDescent="0.35">
      <c r="A255" t="s">
        <v>338</v>
      </c>
      <c r="B255" s="2">
        <v>46066</v>
      </c>
      <c r="C255" t="s">
        <v>90</v>
      </c>
      <c r="D255" t="s">
        <v>91</v>
      </c>
      <c r="E255" t="s">
        <v>19</v>
      </c>
      <c r="F255" t="s">
        <v>92</v>
      </c>
      <c r="G255" t="s">
        <v>77</v>
      </c>
      <c r="H255" t="s">
        <v>50</v>
      </c>
      <c r="I255">
        <v>2</v>
      </c>
      <c r="J255" s="3">
        <v>262200</v>
      </c>
      <c r="K255" s="3">
        <v>333100</v>
      </c>
      <c r="L255" s="3">
        <v>666200</v>
      </c>
      <c r="M255" s="3">
        <v>141800</v>
      </c>
      <c r="N255" t="s">
        <v>40</v>
      </c>
      <c r="O255" t="s">
        <v>45</v>
      </c>
      <c r="P255">
        <v>180</v>
      </c>
    </row>
    <row r="256" spans="1:16" hidden="1" x14ac:dyDescent="0.35">
      <c r="A256" t="s">
        <v>339</v>
      </c>
      <c r="B256" s="2">
        <v>46223</v>
      </c>
      <c r="C256" t="s">
        <v>104</v>
      </c>
      <c r="D256" t="s">
        <v>105</v>
      </c>
      <c r="E256" t="s">
        <v>106</v>
      </c>
      <c r="F256" t="s">
        <v>76</v>
      </c>
      <c r="G256" t="s">
        <v>29</v>
      </c>
      <c r="H256" t="s">
        <v>22</v>
      </c>
      <c r="I256">
        <v>3</v>
      </c>
      <c r="J256" s="3">
        <v>48900</v>
      </c>
      <c r="K256" s="3">
        <v>58600</v>
      </c>
      <c r="L256" s="3">
        <v>175800</v>
      </c>
      <c r="M256" s="3">
        <v>29100</v>
      </c>
      <c r="N256" t="s">
        <v>31</v>
      </c>
      <c r="O256" t="s">
        <v>24</v>
      </c>
      <c r="P256">
        <v>90</v>
      </c>
    </row>
    <row r="257" spans="1:16" hidden="1" x14ac:dyDescent="0.35">
      <c r="A257" t="s">
        <v>340</v>
      </c>
      <c r="B257" s="2">
        <v>46230</v>
      </c>
      <c r="C257" t="s">
        <v>101</v>
      </c>
      <c r="D257" t="s">
        <v>102</v>
      </c>
      <c r="E257" t="s">
        <v>19</v>
      </c>
      <c r="F257" t="s">
        <v>83</v>
      </c>
      <c r="G257" t="s">
        <v>77</v>
      </c>
      <c r="H257" t="s">
        <v>22</v>
      </c>
      <c r="I257">
        <v>-1</v>
      </c>
      <c r="J257" s="3">
        <v>193700</v>
      </c>
      <c r="K257" s="3">
        <v>225900</v>
      </c>
      <c r="L257" s="3">
        <v>-225900</v>
      </c>
      <c r="M257" s="3">
        <v>-32200</v>
      </c>
      <c r="N257" t="s">
        <v>31</v>
      </c>
      <c r="O257" t="s">
        <v>60</v>
      </c>
      <c r="P257">
        <v>180</v>
      </c>
    </row>
    <row r="258" spans="1:16" hidden="1" x14ac:dyDescent="0.35">
      <c r="A258" t="s">
        <v>341</v>
      </c>
      <c r="B258" s="2">
        <v>46122</v>
      </c>
      <c r="C258" t="s">
        <v>62</v>
      </c>
      <c r="D258" t="s">
        <v>63</v>
      </c>
      <c r="E258" t="s">
        <v>54</v>
      </c>
      <c r="F258" t="s">
        <v>64</v>
      </c>
      <c r="G258" t="s">
        <v>21</v>
      </c>
      <c r="H258" t="s">
        <v>22</v>
      </c>
      <c r="I258">
        <v>4</v>
      </c>
      <c r="J258" s="3">
        <v>20700</v>
      </c>
      <c r="K258" s="3">
        <v>24700</v>
      </c>
      <c r="L258" s="3">
        <v>98800</v>
      </c>
      <c r="M258" s="3">
        <v>16000</v>
      </c>
      <c r="N258" t="s">
        <v>31</v>
      </c>
      <c r="O258" t="s">
        <v>45</v>
      </c>
      <c r="P258">
        <v>30</v>
      </c>
    </row>
    <row r="259" spans="1:16" hidden="1" x14ac:dyDescent="0.35">
      <c r="A259" t="s">
        <v>342</v>
      </c>
      <c r="B259" s="2">
        <v>46226</v>
      </c>
      <c r="C259" t="s">
        <v>66</v>
      </c>
      <c r="D259" t="s">
        <v>67</v>
      </c>
      <c r="E259" t="s">
        <v>44</v>
      </c>
      <c r="F259" t="s">
        <v>20</v>
      </c>
      <c r="G259" t="s">
        <v>77</v>
      </c>
      <c r="H259" t="s">
        <v>35</v>
      </c>
      <c r="I259">
        <v>1</v>
      </c>
      <c r="J259" s="3">
        <v>248400</v>
      </c>
      <c r="K259" s="3">
        <v>282300</v>
      </c>
      <c r="L259" s="3">
        <v>282300</v>
      </c>
      <c r="M259" s="3">
        <v>33900</v>
      </c>
      <c r="N259" t="s">
        <v>23</v>
      </c>
      <c r="O259" t="s">
        <v>24</v>
      </c>
      <c r="P259">
        <v>180</v>
      </c>
    </row>
    <row r="260" spans="1:16" x14ac:dyDescent="0.35">
      <c r="A260" t="s">
        <v>343</v>
      </c>
      <c r="B260" s="2">
        <v>46079</v>
      </c>
      <c r="C260" t="s">
        <v>26</v>
      </c>
      <c r="D260" t="s">
        <v>27</v>
      </c>
      <c r="E260" t="s">
        <v>19</v>
      </c>
      <c r="F260" t="s">
        <v>28</v>
      </c>
      <c r="G260" t="s">
        <v>29</v>
      </c>
      <c r="H260" t="s">
        <v>22</v>
      </c>
      <c r="I260">
        <v>1</v>
      </c>
      <c r="J260" s="3">
        <v>180700</v>
      </c>
      <c r="K260" s="3">
        <v>213500</v>
      </c>
      <c r="L260" s="3">
        <v>213500</v>
      </c>
      <c r="M260" s="3">
        <v>32800</v>
      </c>
      <c r="N260" t="s">
        <v>40</v>
      </c>
      <c r="O260" t="s">
        <v>24</v>
      </c>
      <c r="P260">
        <v>180</v>
      </c>
    </row>
    <row r="261" spans="1:16" hidden="1" x14ac:dyDescent="0.35">
      <c r="A261" t="s">
        <v>344</v>
      </c>
      <c r="B261" s="2">
        <v>46072</v>
      </c>
      <c r="C261" t="s">
        <v>119</v>
      </c>
      <c r="D261" t="s">
        <v>120</v>
      </c>
      <c r="E261" t="s">
        <v>54</v>
      </c>
      <c r="F261" t="s">
        <v>83</v>
      </c>
      <c r="G261" t="s">
        <v>77</v>
      </c>
      <c r="H261" t="s">
        <v>22</v>
      </c>
      <c r="I261">
        <v>1</v>
      </c>
      <c r="J261" s="3">
        <v>19600</v>
      </c>
      <c r="K261" s="3">
        <v>24100</v>
      </c>
      <c r="L261" s="3">
        <v>24100</v>
      </c>
      <c r="M261" s="3">
        <v>4500</v>
      </c>
      <c r="N261" t="s">
        <v>31</v>
      </c>
      <c r="O261" t="s">
        <v>24</v>
      </c>
      <c r="P261">
        <v>30</v>
      </c>
    </row>
    <row r="262" spans="1:16" x14ac:dyDescent="0.35">
      <c r="A262" t="s">
        <v>345</v>
      </c>
      <c r="B262" s="2">
        <v>46151</v>
      </c>
      <c r="C262" t="s">
        <v>52</v>
      </c>
      <c r="D262" t="s">
        <v>53</v>
      </c>
      <c r="E262" t="s">
        <v>54</v>
      </c>
      <c r="F262" t="s">
        <v>55</v>
      </c>
      <c r="G262" t="s">
        <v>29</v>
      </c>
      <c r="H262" t="s">
        <v>30</v>
      </c>
      <c r="I262">
        <v>-2</v>
      </c>
      <c r="J262" s="3">
        <v>7300</v>
      </c>
      <c r="K262" s="3">
        <v>8800</v>
      </c>
      <c r="L262" s="3">
        <v>-17600</v>
      </c>
      <c r="M262" s="3">
        <v>-3000</v>
      </c>
      <c r="N262" t="s">
        <v>40</v>
      </c>
      <c r="O262" t="s">
        <v>60</v>
      </c>
      <c r="P262">
        <v>30</v>
      </c>
    </row>
    <row r="263" spans="1:16" hidden="1" x14ac:dyDescent="0.35">
      <c r="A263" t="s">
        <v>346</v>
      </c>
      <c r="B263" s="2">
        <v>46249</v>
      </c>
      <c r="C263" t="s">
        <v>111</v>
      </c>
      <c r="D263" t="s">
        <v>112</v>
      </c>
      <c r="E263" t="s">
        <v>19</v>
      </c>
      <c r="F263" t="s">
        <v>83</v>
      </c>
      <c r="G263" t="s">
        <v>77</v>
      </c>
      <c r="H263" t="s">
        <v>30</v>
      </c>
      <c r="I263">
        <v>1</v>
      </c>
      <c r="J263" s="3">
        <v>217600</v>
      </c>
      <c r="K263" s="3">
        <v>255400</v>
      </c>
      <c r="L263" s="3">
        <v>255400</v>
      </c>
      <c r="M263" s="3">
        <v>37800</v>
      </c>
      <c r="N263" t="s">
        <v>31</v>
      </c>
      <c r="O263" t="s">
        <v>24</v>
      </c>
      <c r="P263">
        <v>180</v>
      </c>
    </row>
    <row r="264" spans="1:16" x14ac:dyDescent="0.35">
      <c r="A264" t="s">
        <v>347</v>
      </c>
      <c r="B264" s="2">
        <v>46127</v>
      </c>
      <c r="C264" t="s">
        <v>87</v>
      </c>
      <c r="D264" t="s">
        <v>88</v>
      </c>
      <c r="E264" t="s">
        <v>75</v>
      </c>
      <c r="F264" t="s">
        <v>76</v>
      </c>
      <c r="G264" t="s">
        <v>21</v>
      </c>
      <c r="H264" t="s">
        <v>22</v>
      </c>
      <c r="I264">
        <v>4</v>
      </c>
      <c r="J264" s="3">
        <v>64100</v>
      </c>
      <c r="K264" s="3">
        <v>76400</v>
      </c>
      <c r="L264" s="3">
        <v>305600</v>
      </c>
      <c r="M264" s="3">
        <v>49200</v>
      </c>
      <c r="N264" t="s">
        <v>40</v>
      </c>
      <c r="O264" t="s">
        <v>45</v>
      </c>
      <c r="P264">
        <v>90</v>
      </c>
    </row>
    <row r="265" spans="1:16" hidden="1" x14ac:dyDescent="0.35">
      <c r="A265" t="s">
        <v>348</v>
      </c>
      <c r="B265" s="2">
        <v>46195</v>
      </c>
      <c r="C265" t="s">
        <v>42</v>
      </c>
      <c r="D265" t="s">
        <v>43</v>
      </c>
      <c r="E265" t="s">
        <v>44</v>
      </c>
      <c r="F265" t="s">
        <v>28</v>
      </c>
      <c r="G265" t="s">
        <v>21</v>
      </c>
      <c r="H265" t="s">
        <v>35</v>
      </c>
      <c r="I265">
        <v>3</v>
      </c>
      <c r="J265" s="3">
        <v>170700</v>
      </c>
      <c r="K265" s="3">
        <v>204700</v>
      </c>
      <c r="L265" s="3">
        <v>614100</v>
      </c>
      <c r="M265" s="3">
        <v>102000</v>
      </c>
      <c r="N265" t="s">
        <v>37</v>
      </c>
      <c r="O265" t="s">
        <v>45</v>
      </c>
      <c r="P265">
        <v>180</v>
      </c>
    </row>
    <row r="266" spans="1:16" hidden="1" x14ac:dyDescent="0.35">
      <c r="A266" t="s">
        <v>349</v>
      </c>
      <c r="B266" s="2">
        <v>46272</v>
      </c>
      <c r="C266" t="s">
        <v>69</v>
      </c>
      <c r="D266" t="s">
        <v>70</v>
      </c>
      <c r="E266" t="s">
        <v>54</v>
      </c>
      <c r="F266" t="s">
        <v>64</v>
      </c>
      <c r="G266" t="s">
        <v>77</v>
      </c>
      <c r="H266" t="s">
        <v>50</v>
      </c>
      <c r="I266">
        <v>4</v>
      </c>
      <c r="J266" s="3">
        <v>10800</v>
      </c>
      <c r="K266" s="3">
        <v>12800</v>
      </c>
      <c r="L266" s="3">
        <v>51200</v>
      </c>
      <c r="M266" s="3">
        <v>8000</v>
      </c>
      <c r="N266" t="s">
        <v>37</v>
      </c>
      <c r="O266" t="s">
        <v>24</v>
      </c>
      <c r="P266">
        <v>30</v>
      </c>
    </row>
    <row r="267" spans="1:16" hidden="1" x14ac:dyDescent="0.35">
      <c r="A267" t="s">
        <v>350</v>
      </c>
      <c r="B267" s="2">
        <v>46151</v>
      </c>
      <c r="C267" t="s">
        <v>57</v>
      </c>
      <c r="D267" t="s">
        <v>58</v>
      </c>
      <c r="E267" t="s">
        <v>49</v>
      </c>
      <c r="F267" t="s">
        <v>59</v>
      </c>
      <c r="G267" t="s">
        <v>77</v>
      </c>
      <c r="H267" t="s">
        <v>30</v>
      </c>
      <c r="I267">
        <v>-1</v>
      </c>
      <c r="J267" s="3">
        <v>81000</v>
      </c>
      <c r="K267" s="3">
        <v>102000</v>
      </c>
      <c r="L267" s="3">
        <v>-102000</v>
      </c>
      <c r="M267" s="3">
        <v>-21000</v>
      </c>
      <c r="N267" t="s">
        <v>31</v>
      </c>
      <c r="O267" t="s">
        <v>60</v>
      </c>
      <c r="P267">
        <v>90</v>
      </c>
    </row>
    <row r="268" spans="1:16" x14ac:dyDescent="0.35">
      <c r="A268" t="s">
        <v>351</v>
      </c>
      <c r="B268" s="2">
        <v>46119</v>
      </c>
      <c r="C268" t="s">
        <v>52</v>
      </c>
      <c r="D268" t="s">
        <v>53</v>
      </c>
      <c r="E268" t="s">
        <v>54</v>
      </c>
      <c r="F268" t="s">
        <v>55</v>
      </c>
      <c r="G268" t="s">
        <v>39</v>
      </c>
      <c r="H268" t="s">
        <v>30</v>
      </c>
      <c r="I268">
        <v>-1</v>
      </c>
      <c r="J268" s="3">
        <v>17200</v>
      </c>
      <c r="K268" s="3">
        <v>22500</v>
      </c>
      <c r="L268" s="3">
        <v>-22500</v>
      </c>
      <c r="M268" s="3">
        <v>-5300</v>
      </c>
      <c r="N268" t="s">
        <v>40</v>
      </c>
      <c r="O268" t="s">
        <v>60</v>
      </c>
      <c r="P268">
        <v>30</v>
      </c>
    </row>
    <row r="269" spans="1:16" x14ac:dyDescent="0.35">
      <c r="A269" t="s">
        <v>352</v>
      </c>
      <c r="B269" s="2">
        <v>46282</v>
      </c>
      <c r="C269" t="s">
        <v>62</v>
      </c>
      <c r="D269" t="s">
        <v>63</v>
      </c>
      <c r="E269" t="s">
        <v>54</v>
      </c>
      <c r="F269" t="s">
        <v>64</v>
      </c>
      <c r="G269" t="s">
        <v>29</v>
      </c>
      <c r="H269" t="s">
        <v>35</v>
      </c>
      <c r="I269">
        <v>1</v>
      </c>
      <c r="J269" s="3">
        <v>29300</v>
      </c>
      <c r="K269" s="3">
        <v>37700</v>
      </c>
      <c r="L269" s="3">
        <v>37700</v>
      </c>
      <c r="M269" s="3">
        <v>8400</v>
      </c>
      <c r="N269" t="s">
        <v>40</v>
      </c>
      <c r="O269" t="s">
        <v>45</v>
      </c>
      <c r="P269">
        <v>30</v>
      </c>
    </row>
    <row r="270" spans="1:16" hidden="1" x14ac:dyDescent="0.35">
      <c r="A270" t="s">
        <v>353</v>
      </c>
      <c r="B270" s="2">
        <v>46256</v>
      </c>
      <c r="C270" t="s">
        <v>81</v>
      </c>
      <c r="D270" t="s">
        <v>82</v>
      </c>
      <c r="E270" t="s">
        <v>44</v>
      </c>
      <c r="F270" t="s">
        <v>83</v>
      </c>
      <c r="G270" t="s">
        <v>21</v>
      </c>
      <c r="H270" t="s">
        <v>30</v>
      </c>
      <c r="I270">
        <v>2</v>
      </c>
      <c r="J270" s="3">
        <v>242500</v>
      </c>
      <c r="K270" s="3">
        <v>306300</v>
      </c>
      <c r="L270" s="3">
        <v>612600</v>
      </c>
      <c r="M270" s="3">
        <v>127600</v>
      </c>
      <c r="N270" t="s">
        <v>37</v>
      </c>
      <c r="O270" t="s">
        <v>24</v>
      </c>
      <c r="P270">
        <v>180</v>
      </c>
    </row>
    <row r="271" spans="1:16" hidden="1" x14ac:dyDescent="0.35">
      <c r="A271" t="s">
        <v>354</v>
      </c>
      <c r="B271" s="2">
        <v>46070</v>
      </c>
      <c r="C271" t="s">
        <v>134</v>
      </c>
      <c r="D271" t="s">
        <v>135</v>
      </c>
      <c r="E271" t="s">
        <v>106</v>
      </c>
      <c r="F271" t="s">
        <v>76</v>
      </c>
      <c r="G271" t="s">
        <v>39</v>
      </c>
      <c r="H271" t="s">
        <v>50</v>
      </c>
      <c r="I271">
        <v>-2</v>
      </c>
      <c r="J271" s="3">
        <v>19400</v>
      </c>
      <c r="K271" s="3">
        <v>25500</v>
      </c>
      <c r="L271" s="3">
        <v>-51000</v>
      </c>
      <c r="M271" s="3">
        <v>-12200</v>
      </c>
      <c r="N271" t="s">
        <v>31</v>
      </c>
      <c r="O271" t="s">
        <v>60</v>
      </c>
      <c r="P271">
        <v>90</v>
      </c>
    </row>
    <row r="272" spans="1:16" hidden="1" x14ac:dyDescent="0.35">
      <c r="A272" t="s">
        <v>355</v>
      </c>
      <c r="B272" s="2">
        <v>46196</v>
      </c>
      <c r="C272" t="s">
        <v>95</v>
      </c>
      <c r="D272" t="s">
        <v>96</v>
      </c>
      <c r="E272" t="s">
        <v>19</v>
      </c>
      <c r="F272" t="s">
        <v>28</v>
      </c>
      <c r="G272" t="s">
        <v>21</v>
      </c>
      <c r="H272" t="s">
        <v>22</v>
      </c>
      <c r="I272">
        <v>5</v>
      </c>
      <c r="J272" s="3">
        <v>270600</v>
      </c>
      <c r="K272" s="3">
        <v>305500</v>
      </c>
      <c r="L272" s="3">
        <v>1527500</v>
      </c>
      <c r="M272" s="3">
        <v>174500</v>
      </c>
      <c r="N272" t="s">
        <v>23</v>
      </c>
      <c r="O272" t="s">
        <v>45</v>
      </c>
      <c r="P272">
        <v>180</v>
      </c>
    </row>
    <row r="273" spans="1:16" hidden="1" x14ac:dyDescent="0.35">
      <c r="A273" t="s">
        <v>356</v>
      </c>
      <c r="B273" s="2">
        <v>46140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H273" t="s">
        <v>35</v>
      </c>
      <c r="I273">
        <v>-1</v>
      </c>
      <c r="J273" s="3">
        <v>216200</v>
      </c>
      <c r="K273" s="3">
        <v>264200</v>
      </c>
      <c r="L273" s="3">
        <v>-264200</v>
      </c>
      <c r="M273" s="3">
        <v>-48000</v>
      </c>
      <c r="N273" t="s">
        <v>37</v>
      </c>
      <c r="O273" t="s">
        <v>60</v>
      </c>
      <c r="P273">
        <v>180</v>
      </c>
    </row>
    <row r="274" spans="1:16" hidden="1" x14ac:dyDescent="0.35">
      <c r="A274" t="s">
        <v>357</v>
      </c>
      <c r="B274" s="2">
        <v>46039</v>
      </c>
      <c r="C274" t="s">
        <v>62</v>
      </c>
      <c r="D274" t="s">
        <v>63</v>
      </c>
      <c r="E274" t="s">
        <v>54</v>
      </c>
      <c r="F274" t="s">
        <v>64</v>
      </c>
      <c r="G274" t="s">
        <v>21</v>
      </c>
      <c r="H274" t="s">
        <v>22</v>
      </c>
      <c r="I274">
        <v>1</v>
      </c>
      <c r="J274" s="3">
        <v>28600</v>
      </c>
      <c r="K274" s="3">
        <v>35400</v>
      </c>
      <c r="L274" s="3">
        <v>35400</v>
      </c>
      <c r="M274" s="3">
        <v>6800</v>
      </c>
      <c r="N274" t="s">
        <v>31</v>
      </c>
      <c r="O274" t="s">
        <v>24</v>
      </c>
      <c r="P274">
        <v>30</v>
      </c>
    </row>
    <row r="275" spans="1:16" hidden="1" x14ac:dyDescent="0.35">
      <c r="A275" t="s">
        <v>358</v>
      </c>
      <c r="B275" s="2">
        <v>46205</v>
      </c>
      <c r="C275" t="s">
        <v>119</v>
      </c>
      <c r="D275" t="s">
        <v>120</v>
      </c>
      <c r="E275" t="s">
        <v>54</v>
      </c>
      <c r="F275" t="s">
        <v>83</v>
      </c>
      <c r="G275" t="s">
        <v>77</v>
      </c>
      <c r="H275" t="s">
        <v>35</v>
      </c>
      <c r="I275">
        <v>3</v>
      </c>
      <c r="J275" s="3">
        <v>32800</v>
      </c>
      <c r="K275" s="3">
        <v>37300</v>
      </c>
      <c r="L275" s="3">
        <v>111900</v>
      </c>
      <c r="M275" s="3">
        <v>13500</v>
      </c>
      <c r="N275" t="s">
        <v>37</v>
      </c>
      <c r="O275" t="s">
        <v>24</v>
      </c>
      <c r="P275">
        <v>30</v>
      </c>
    </row>
    <row r="276" spans="1:16" hidden="1" x14ac:dyDescent="0.35">
      <c r="A276" t="s">
        <v>359</v>
      </c>
      <c r="B276" s="2">
        <v>46190</v>
      </c>
      <c r="C276" t="s">
        <v>90</v>
      </c>
      <c r="D276" t="s">
        <v>91</v>
      </c>
      <c r="E276" t="s">
        <v>19</v>
      </c>
      <c r="F276" t="s">
        <v>92</v>
      </c>
      <c r="G276" t="s">
        <v>39</v>
      </c>
      <c r="H276" t="s">
        <v>35</v>
      </c>
      <c r="I276">
        <v>1</v>
      </c>
      <c r="J276" s="3">
        <v>253000</v>
      </c>
      <c r="K276" s="3">
        <v>301000</v>
      </c>
      <c r="L276" s="3">
        <v>301000</v>
      </c>
      <c r="M276" s="3">
        <v>48000</v>
      </c>
      <c r="N276" t="s">
        <v>23</v>
      </c>
      <c r="O276" t="s">
        <v>45</v>
      </c>
      <c r="P276">
        <v>180</v>
      </c>
    </row>
    <row r="277" spans="1:16" hidden="1" x14ac:dyDescent="0.35">
      <c r="A277" t="s">
        <v>360</v>
      </c>
      <c r="B277" s="2">
        <v>46151</v>
      </c>
      <c r="C277" t="s">
        <v>17</v>
      </c>
      <c r="D277" t="s">
        <v>18</v>
      </c>
      <c r="E277" t="s">
        <v>19</v>
      </c>
      <c r="F277" t="s">
        <v>20</v>
      </c>
      <c r="G277" t="s">
        <v>29</v>
      </c>
      <c r="H277" t="s">
        <v>50</v>
      </c>
      <c r="I277">
        <v>1</v>
      </c>
      <c r="J277" s="3">
        <v>183200</v>
      </c>
      <c r="K277" s="3">
        <v>217800</v>
      </c>
      <c r="L277" s="3">
        <v>217800</v>
      </c>
      <c r="M277" s="3">
        <v>34600</v>
      </c>
      <c r="N277" t="s">
        <v>31</v>
      </c>
      <c r="O277" t="s">
        <v>24</v>
      </c>
      <c r="P277">
        <v>180</v>
      </c>
    </row>
    <row r="278" spans="1:16" hidden="1" x14ac:dyDescent="0.35">
      <c r="A278" t="s">
        <v>361</v>
      </c>
      <c r="B278" s="2">
        <v>46122</v>
      </c>
      <c r="C278" t="s">
        <v>134</v>
      </c>
      <c r="D278" t="s">
        <v>135</v>
      </c>
      <c r="E278" t="s">
        <v>106</v>
      </c>
      <c r="F278" t="s">
        <v>76</v>
      </c>
      <c r="G278" t="s">
        <v>21</v>
      </c>
      <c r="H278" t="s">
        <v>30</v>
      </c>
      <c r="I278">
        <v>2</v>
      </c>
      <c r="J278" s="3">
        <v>33800</v>
      </c>
      <c r="K278" s="3">
        <v>41000</v>
      </c>
      <c r="L278" s="3">
        <v>82000</v>
      </c>
      <c r="M278" s="3">
        <v>14400</v>
      </c>
      <c r="N278" t="s">
        <v>23</v>
      </c>
      <c r="O278" t="s">
        <v>24</v>
      </c>
      <c r="P278">
        <v>90</v>
      </c>
    </row>
    <row r="279" spans="1:16" hidden="1" x14ac:dyDescent="0.35">
      <c r="A279" t="s">
        <v>362</v>
      </c>
      <c r="B279" s="2">
        <v>46136</v>
      </c>
      <c r="C279" t="s">
        <v>69</v>
      </c>
      <c r="D279" t="s">
        <v>70</v>
      </c>
      <c r="E279" t="s">
        <v>54</v>
      </c>
      <c r="F279" t="s">
        <v>64</v>
      </c>
      <c r="G279" t="s">
        <v>29</v>
      </c>
      <c r="H279" t="s">
        <v>35</v>
      </c>
      <c r="I279">
        <v>1</v>
      </c>
      <c r="J279" s="3">
        <v>31700</v>
      </c>
      <c r="K279" s="3">
        <v>38400</v>
      </c>
      <c r="L279" s="3">
        <v>38400</v>
      </c>
      <c r="M279" s="3">
        <v>6700</v>
      </c>
      <c r="N279" t="s">
        <v>23</v>
      </c>
      <c r="O279" t="s">
        <v>24</v>
      </c>
      <c r="P279">
        <v>30</v>
      </c>
    </row>
    <row r="280" spans="1:16" hidden="1" x14ac:dyDescent="0.35">
      <c r="A280" t="s">
        <v>363</v>
      </c>
      <c r="B280" s="2">
        <v>46127</v>
      </c>
      <c r="C280" t="s">
        <v>104</v>
      </c>
      <c r="D280" t="s">
        <v>105</v>
      </c>
      <c r="E280" t="s">
        <v>106</v>
      </c>
      <c r="F280" t="s">
        <v>76</v>
      </c>
      <c r="G280" t="s">
        <v>21</v>
      </c>
      <c r="H280" t="s">
        <v>22</v>
      </c>
      <c r="I280">
        <v>1</v>
      </c>
      <c r="J280" s="3">
        <v>21800</v>
      </c>
      <c r="K280" s="3">
        <v>28200</v>
      </c>
      <c r="L280" s="3">
        <v>28200</v>
      </c>
      <c r="M280" s="3">
        <v>6400</v>
      </c>
      <c r="N280" t="s">
        <v>31</v>
      </c>
      <c r="O280" t="s">
        <v>24</v>
      </c>
      <c r="P280">
        <v>90</v>
      </c>
    </row>
    <row r="281" spans="1:16" hidden="1" x14ac:dyDescent="0.35">
      <c r="A281" t="s">
        <v>364</v>
      </c>
      <c r="B281" s="2">
        <v>46227</v>
      </c>
      <c r="C281" t="s">
        <v>87</v>
      </c>
      <c r="D281" t="s">
        <v>88</v>
      </c>
      <c r="E281" t="s">
        <v>75</v>
      </c>
      <c r="F281" t="s">
        <v>76</v>
      </c>
      <c r="G281" t="s">
        <v>39</v>
      </c>
      <c r="H281" t="s">
        <v>35</v>
      </c>
      <c r="I281">
        <v>-2</v>
      </c>
      <c r="J281" s="3">
        <v>51400</v>
      </c>
      <c r="K281" s="3">
        <v>64100</v>
      </c>
      <c r="L281" s="3">
        <v>-128200</v>
      </c>
      <c r="M281" s="3">
        <v>-25400</v>
      </c>
      <c r="N281" t="s">
        <v>31</v>
      </c>
      <c r="O281" t="s">
        <v>60</v>
      </c>
      <c r="P281">
        <v>90</v>
      </c>
    </row>
    <row r="282" spans="1:16" hidden="1" x14ac:dyDescent="0.35">
      <c r="A282" t="s">
        <v>365</v>
      </c>
      <c r="B282" s="2">
        <v>46070</v>
      </c>
      <c r="C282" t="s">
        <v>62</v>
      </c>
      <c r="D282" t="s">
        <v>63</v>
      </c>
      <c r="E282" t="s">
        <v>54</v>
      </c>
      <c r="F282" t="s">
        <v>64</v>
      </c>
      <c r="G282" t="s">
        <v>29</v>
      </c>
      <c r="H282" t="s">
        <v>35</v>
      </c>
      <c r="I282">
        <v>2</v>
      </c>
      <c r="J282" s="3">
        <v>24300</v>
      </c>
      <c r="K282" s="3">
        <v>31200</v>
      </c>
      <c r="L282" s="3">
        <v>62400</v>
      </c>
      <c r="M282" s="3">
        <v>13800</v>
      </c>
      <c r="N282" t="s">
        <v>23</v>
      </c>
      <c r="O282" t="s">
        <v>24</v>
      </c>
      <c r="P282">
        <v>30</v>
      </c>
    </row>
    <row r="283" spans="1:16" hidden="1" x14ac:dyDescent="0.35">
      <c r="A283" t="s">
        <v>366</v>
      </c>
      <c r="B283" s="2">
        <v>46225</v>
      </c>
      <c r="C283" t="s">
        <v>66</v>
      </c>
      <c r="D283" t="s">
        <v>67</v>
      </c>
      <c r="E283" t="s">
        <v>44</v>
      </c>
      <c r="F283" t="s">
        <v>20</v>
      </c>
      <c r="G283" t="s">
        <v>21</v>
      </c>
      <c r="H283" t="s">
        <v>50</v>
      </c>
      <c r="I283">
        <v>-2</v>
      </c>
      <c r="J283" s="3">
        <v>203600</v>
      </c>
      <c r="K283" s="3">
        <v>235500</v>
      </c>
      <c r="L283" s="3">
        <v>-471000</v>
      </c>
      <c r="M283" s="3">
        <v>-63800</v>
      </c>
      <c r="N283" t="s">
        <v>37</v>
      </c>
      <c r="O283" t="s">
        <v>60</v>
      </c>
      <c r="P283">
        <v>180</v>
      </c>
    </row>
    <row r="284" spans="1:16" x14ac:dyDescent="0.35">
      <c r="A284" t="s">
        <v>367</v>
      </c>
      <c r="B284" s="2">
        <v>46112</v>
      </c>
      <c r="C284" t="s">
        <v>119</v>
      </c>
      <c r="D284" t="s">
        <v>120</v>
      </c>
      <c r="E284" t="s">
        <v>54</v>
      </c>
      <c r="F284" t="s">
        <v>83</v>
      </c>
      <c r="G284" t="s">
        <v>21</v>
      </c>
      <c r="H284" t="s">
        <v>35</v>
      </c>
      <c r="I284">
        <v>2</v>
      </c>
      <c r="J284" s="3">
        <v>12200</v>
      </c>
      <c r="K284" s="3">
        <v>15200</v>
      </c>
      <c r="L284" s="3">
        <v>30400</v>
      </c>
      <c r="M284" s="3">
        <v>6000</v>
      </c>
      <c r="N284" t="s">
        <v>40</v>
      </c>
      <c r="O284" t="s">
        <v>24</v>
      </c>
      <c r="P284">
        <v>30</v>
      </c>
    </row>
    <row r="285" spans="1:16" x14ac:dyDescent="0.35">
      <c r="A285" t="s">
        <v>368</v>
      </c>
      <c r="B285" s="2">
        <v>46031</v>
      </c>
      <c r="C285" t="s">
        <v>95</v>
      </c>
      <c r="D285" t="s">
        <v>96</v>
      </c>
      <c r="E285" t="s">
        <v>19</v>
      </c>
      <c r="F285" t="s">
        <v>28</v>
      </c>
      <c r="G285" t="s">
        <v>21</v>
      </c>
      <c r="H285" t="s">
        <v>50</v>
      </c>
      <c r="I285">
        <v>1</v>
      </c>
      <c r="J285" s="3">
        <v>224000</v>
      </c>
      <c r="K285" s="3">
        <v>271100</v>
      </c>
      <c r="L285" s="3">
        <v>271100</v>
      </c>
      <c r="M285" s="3">
        <v>47100</v>
      </c>
      <c r="N285" t="s">
        <v>40</v>
      </c>
      <c r="O285" t="s">
        <v>24</v>
      </c>
      <c r="P285">
        <v>180</v>
      </c>
    </row>
    <row r="286" spans="1:16" x14ac:dyDescent="0.35">
      <c r="A286" t="s">
        <v>369</v>
      </c>
      <c r="B286" s="2">
        <v>46239</v>
      </c>
      <c r="C286" t="s">
        <v>52</v>
      </c>
      <c r="D286" t="s">
        <v>53</v>
      </c>
      <c r="E286" t="s">
        <v>54</v>
      </c>
      <c r="F286" t="s">
        <v>55</v>
      </c>
      <c r="G286" t="s">
        <v>21</v>
      </c>
      <c r="H286" t="s">
        <v>30</v>
      </c>
      <c r="I286">
        <v>1</v>
      </c>
      <c r="J286" s="3">
        <v>34000</v>
      </c>
      <c r="K286" s="3">
        <v>41500</v>
      </c>
      <c r="L286" s="3">
        <v>41500</v>
      </c>
      <c r="M286" s="3">
        <v>7500</v>
      </c>
      <c r="N286" t="s">
        <v>40</v>
      </c>
      <c r="O286" t="s">
        <v>45</v>
      </c>
      <c r="P286">
        <v>30</v>
      </c>
    </row>
    <row r="287" spans="1:16" x14ac:dyDescent="0.35">
      <c r="A287" t="s">
        <v>370</v>
      </c>
      <c r="B287" s="2">
        <v>46167</v>
      </c>
      <c r="C287" t="s">
        <v>26</v>
      </c>
      <c r="D287" t="s">
        <v>27</v>
      </c>
      <c r="E287" t="s">
        <v>19</v>
      </c>
      <c r="F287" t="s">
        <v>28</v>
      </c>
      <c r="G287" t="s">
        <v>29</v>
      </c>
      <c r="H287" t="s">
        <v>35</v>
      </c>
      <c r="I287">
        <v>1</v>
      </c>
      <c r="J287" s="3">
        <v>259200</v>
      </c>
      <c r="K287" s="3">
        <v>331600</v>
      </c>
      <c r="L287" s="3">
        <v>331600</v>
      </c>
      <c r="M287" s="3">
        <v>72400</v>
      </c>
      <c r="N287" t="s">
        <v>40</v>
      </c>
      <c r="O287" t="s">
        <v>24</v>
      </c>
      <c r="P287">
        <v>180</v>
      </c>
    </row>
    <row r="288" spans="1:16" hidden="1" x14ac:dyDescent="0.35">
      <c r="A288" t="s">
        <v>371</v>
      </c>
      <c r="B288" s="2">
        <v>46084</v>
      </c>
      <c r="C288" t="s">
        <v>62</v>
      </c>
      <c r="D288" t="s">
        <v>63</v>
      </c>
      <c r="E288" t="s">
        <v>54</v>
      </c>
      <c r="F288" t="s">
        <v>64</v>
      </c>
      <c r="G288" t="s">
        <v>39</v>
      </c>
      <c r="H288" t="s">
        <v>35</v>
      </c>
      <c r="I288">
        <v>-1</v>
      </c>
      <c r="J288" s="3">
        <v>22800</v>
      </c>
      <c r="K288" s="3">
        <v>29100</v>
      </c>
      <c r="L288" s="3">
        <v>-29100</v>
      </c>
      <c r="M288" s="3">
        <v>-6300</v>
      </c>
      <c r="N288" t="s">
        <v>31</v>
      </c>
      <c r="O288" t="s">
        <v>60</v>
      </c>
      <c r="P288">
        <v>30</v>
      </c>
    </row>
    <row r="289" spans="1:16" x14ac:dyDescent="0.35">
      <c r="A289" t="s">
        <v>372</v>
      </c>
      <c r="B289" s="2">
        <v>46138</v>
      </c>
      <c r="C289" t="s">
        <v>134</v>
      </c>
      <c r="D289" t="s">
        <v>135</v>
      </c>
      <c r="E289" t="s">
        <v>106</v>
      </c>
      <c r="F289" t="s">
        <v>76</v>
      </c>
      <c r="G289" t="s">
        <v>21</v>
      </c>
      <c r="H289" t="s">
        <v>22</v>
      </c>
      <c r="I289">
        <v>-2</v>
      </c>
      <c r="J289" s="3">
        <v>48400</v>
      </c>
      <c r="K289" s="3">
        <v>54600</v>
      </c>
      <c r="L289" s="3">
        <v>-109200</v>
      </c>
      <c r="M289" s="3">
        <v>-12400</v>
      </c>
      <c r="N289" t="s">
        <v>40</v>
      </c>
      <c r="O289" t="s">
        <v>60</v>
      </c>
      <c r="P289">
        <v>90</v>
      </c>
    </row>
    <row r="290" spans="1:16" x14ac:dyDescent="0.35">
      <c r="A290" t="s">
        <v>373</v>
      </c>
      <c r="B290" s="2">
        <v>46251</v>
      </c>
      <c r="C290" t="s">
        <v>42</v>
      </c>
      <c r="D290" t="s">
        <v>43</v>
      </c>
      <c r="E290" t="s">
        <v>44</v>
      </c>
      <c r="F290" t="s">
        <v>28</v>
      </c>
      <c r="G290" t="s">
        <v>39</v>
      </c>
      <c r="H290" t="s">
        <v>50</v>
      </c>
      <c r="I290">
        <v>1</v>
      </c>
      <c r="J290" s="3">
        <v>266200</v>
      </c>
      <c r="K290" s="3">
        <v>299900</v>
      </c>
      <c r="L290" s="3">
        <v>299900</v>
      </c>
      <c r="M290" s="3">
        <v>33700</v>
      </c>
      <c r="N290" t="s">
        <v>40</v>
      </c>
      <c r="O290" t="s">
        <v>24</v>
      </c>
      <c r="P290">
        <v>180</v>
      </c>
    </row>
    <row r="291" spans="1:16" x14ac:dyDescent="0.35">
      <c r="A291" t="s">
        <v>374</v>
      </c>
      <c r="B291" s="2">
        <v>46111</v>
      </c>
      <c r="C291" t="s">
        <v>104</v>
      </c>
      <c r="D291" t="s">
        <v>105</v>
      </c>
      <c r="E291" t="s">
        <v>106</v>
      </c>
      <c r="F291" t="s">
        <v>76</v>
      </c>
      <c r="G291" t="s">
        <v>29</v>
      </c>
      <c r="H291" t="s">
        <v>50</v>
      </c>
      <c r="I291">
        <v>2</v>
      </c>
      <c r="J291" s="3">
        <v>43500</v>
      </c>
      <c r="K291" s="3">
        <v>56200</v>
      </c>
      <c r="L291" s="3">
        <v>112400</v>
      </c>
      <c r="M291" s="3">
        <v>25400</v>
      </c>
      <c r="N291" t="s">
        <v>40</v>
      </c>
      <c r="O291" t="s">
        <v>45</v>
      </c>
      <c r="P291">
        <v>90</v>
      </c>
    </row>
    <row r="292" spans="1:16" hidden="1" x14ac:dyDescent="0.35">
      <c r="A292" t="s">
        <v>375</v>
      </c>
      <c r="B292" s="2">
        <v>46192</v>
      </c>
      <c r="C292" t="s">
        <v>101</v>
      </c>
      <c r="D292" t="s">
        <v>102</v>
      </c>
      <c r="E292" t="s">
        <v>19</v>
      </c>
      <c r="F292" t="s">
        <v>83</v>
      </c>
      <c r="G292" t="s">
        <v>77</v>
      </c>
      <c r="H292" t="s">
        <v>35</v>
      </c>
      <c r="I292">
        <v>2</v>
      </c>
      <c r="J292" s="3">
        <v>259800</v>
      </c>
      <c r="K292" s="3">
        <v>318600</v>
      </c>
      <c r="L292" s="3">
        <v>637200</v>
      </c>
      <c r="M292" s="3">
        <v>117600</v>
      </c>
      <c r="N292" t="s">
        <v>31</v>
      </c>
      <c r="O292" t="s">
        <v>24</v>
      </c>
      <c r="P292">
        <v>180</v>
      </c>
    </row>
    <row r="293" spans="1:16" x14ac:dyDescent="0.35">
      <c r="A293" t="s">
        <v>376</v>
      </c>
      <c r="B293" s="2">
        <v>46057</v>
      </c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50</v>
      </c>
      <c r="I293">
        <v>1</v>
      </c>
      <c r="J293" s="3">
        <v>74300</v>
      </c>
      <c r="K293" s="3">
        <v>93300</v>
      </c>
      <c r="L293" s="3">
        <v>93300</v>
      </c>
      <c r="M293" s="3">
        <v>19000</v>
      </c>
      <c r="N293" t="s">
        <v>40</v>
      </c>
      <c r="O293" t="s">
        <v>45</v>
      </c>
      <c r="P293">
        <v>90</v>
      </c>
    </row>
    <row r="294" spans="1:16" hidden="1" x14ac:dyDescent="0.35">
      <c r="A294" t="s">
        <v>377</v>
      </c>
      <c r="B294" s="2">
        <v>46277</v>
      </c>
      <c r="C294" t="s">
        <v>66</v>
      </c>
      <c r="D294" t="s">
        <v>67</v>
      </c>
      <c r="E294" t="s">
        <v>44</v>
      </c>
      <c r="F294" t="s">
        <v>20</v>
      </c>
      <c r="G294" t="s">
        <v>29</v>
      </c>
      <c r="H294" t="s">
        <v>35</v>
      </c>
      <c r="I294">
        <v>1</v>
      </c>
      <c r="J294" s="3">
        <v>186100</v>
      </c>
      <c r="K294" s="3">
        <v>220400</v>
      </c>
      <c r="L294" s="3">
        <v>220400</v>
      </c>
      <c r="M294" s="3">
        <v>34300</v>
      </c>
      <c r="N294" t="s">
        <v>37</v>
      </c>
      <c r="O294" t="s">
        <v>45</v>
      </c>
      <c r="P294">
        <v>180</v>
      </c>
    </row>
    <row r="295" spans="1:16" hidden="1" x14ac:dyDescent="0.35">
      <c r="A295" t="s">
        <v>378</v>
      </c>
      <c r="B295" s="2">
        <v>46233</v>
      </c>
      <c r="C295" t="s">
        <v>52</v>
      </c>
      <c r="D295" t="s">
        <v>53</v>
      </c>
      <c r="E295" t="s">
        <v>54</v>
      </c>
      <c r="F295" t="s">
        <v>55</v>
      </c>
      <c r="G295" t="s">
        <v>77</v>
      </c>
      <c r="H295" t="s">
        <v>35</v>
      </c>
      <c r="I295">
        <v>3</v>
      </c>
      <c r="J295" s="3">
        <v>19700</v>
      </c>
      <c r="K295" s="3">
        <v>24600</v>
      </c>
      <c r="L295" s="3">
        <v>73800</v>
      </c>
      <c r="M295" s="3">
        <v>14700</v>
      </c>
      <c r="N295" t="s">
        <v>37</v>
      </c>
      <c r="O295" t="s">
        <v>24</v>
      </c>
      <c r="P295">
        <v>30</v>
      </c>
    </row>
    <row r="296" spans="1:16" hidden="1" x14ac:dyDescent="0.35">
      <c r="A296" t="s">
        <v>379</v>
      </c>
      <c r="B296" s="2">
        <v>46261</v>
      </c>
      <c r="C296" t="s">
        <v>87</v>
      </c>
      <c r="D296" t="s">
        <v>88</v>
      </c>
      <c r="E296" t="s">
        <v>75</v>
      </c>
      <c r="F296" t="s">
        <v>76</v>
      </c>
      <c r="G296" t="s">
        <v>77</v>
      </c>
      <c r="H296" t="s">
        <v>22</v>
      </c>
      <c r="I296">
        <v>2</v>
      </c>
      <c r="J296" s="3">
        <v>41400</v>
      </c>
      <c r="K296" s="3">
        <v>46400</v>
      </c>
      <c r="L296" s="3">
        <v>92800</v>
      </c>
      <c r="M296" s="3">
        <v>10000</v>
      </c>
      <c r="N296" t="s">
        <v>37</v>
      </c>
      <c r="O296" t="s">
        <v>24</v>
      </c>
      <c r="P296">
        <v>90</v>
      </c>
    </row>
    <row r="297" spans="1:16" hidden="1" x14ac:dyDescent="0.35">
      <c r="A297" t="s">
        <v>380</v>
      </c>
      <c r="B297" s="2">
        <v>46172</v>
      </c>
      <c r="C297" t="s">
        <v>90</v>
      </c>
      <c r="D297" t="s">
        <v>91</v>
      </c>
      <c r="E297" t="s">
        <v>19</v>
      </c>
      <c r="F297" t="s">
        <v>92</v>
      </c>
      <c r="G297" t="s">
        <v>77</v>
      </c>
      <c r="H297" t="s">
        <v>50</v>
      </c>
      <c r="I297">
        <v>1</v>
      </c>
      <c r="J297" s="3">
        <v>315500</v>
      </c>
      <c r="K297" s="3">
        <v>405400</v>
      </c>
      <c r="L297" s="3">
        <v>405400</v>
      </c>
      <c r="M297" s="3">
        <v>89900</v>
      </c>
      <c r="N297" t="s">
        <v>37</v>
      </c>
      <c r="O297" t="s">
        <v>24</v>
      </c>
      <c r="P297">
        <v>180</v>
      </c>
    </row>
    <row r="298" spans="1:16" hidden="1" x14ac:dyDescent="0.35">
      <c r="A298" t="s">
        <v>381</v>
      </c>
      <c r="B298" s="2">
        <v>46035</v>
      </c>
      <c r="C298" t="s">
        <v>57</v>
      </c>
      <c r="D298" t="s">
        <v>58</v>
      </c>
      <c r="E298" t="s">
        <v>49</v>
      </c>
      <c r="F298" t="s">
        <v>59</v>
      </c>
      <c r="G298" t="s">
        <v>39</v>
      </c>
      <c r="H298" t="s">
        <v>50</v>
      </c>
      <c r="I298">
        <v>1</v>
      </c>
      <c r="J298" s="3">
        <v>114200</v>
      </c>
      <c r="K298" s="3">
        <v>145300</v>
      </c>
      <c r="L298" s="3">
        <v>145300</v>
      </c>
      <c r="M298" s="3">
        <v>31100</v>
      </c>
      <c r="N298" t="s">
        <v>37</v>
      </c>
      <c r="O298" t="s">
        <v>45</v>
      </c>
      <c r="P298">
        <v>90</v>
      </c>
    </row>
    <row r="299" spans="1:16" hidden="1" x14ac:dyDescent="0.35">
      <c r="A299" t="s">
        <v>382</v>
      </c>
      <c r="B299" s="2">
        <v>46181</v>
      </c>
      <c r="C299" t="s">
        <v>62</v>
      </c>
      <c r="D299" t="s">
        <v>63</v>
      </c>
      <c r="E299" t="s">
        <v>54</v>
      </c>
      <c r="F299" t="s">
        <v>64</v>
      </c>
      <c r="G299" t="s">
        <v>29</v>
      </c>
      <c r="H299" t="s">
        <v>35</v>
      </c>
      <c r="I299">
        <v>1</v>
      </c>
      <c r="J299" s="3">
        <v>7000</v>
      </c>
      <c r="K299" s="3">
        <v>9200</v>
      </c>
      <c r="L299" s="3">
        <v>9200</v>
      </c>
      <c r="M299" s="3">
        <v>2200</v>
      </c>
      <c r="N299" t="s">
        <v>23</v>
      </c>
      <c r="O299" t="s">
        <v>24</v>
      </c>
      <c r="P299">
        <v>30</v>
      </c>
    </row>
    <row r="300" spans="1:16" x14ac:dyDescent="0.35">
      <c r="A300" t="s">
        <v>383</v>
      </c>
      <c r="B300" s="2">
        <v>46053</v>
      </c>
      <c r="C300" t="s">
        <v>47</v>
      </c>
      <c r="D300" t="s">
        <v>48</v>
      </c>
      <c r="E300" t="s">
        <v>49</v>
      </c>
      <c r="F300" t="s">
        <v>20</v>
      </c>
      <c r="G300" t="s">
        <v>21</v>
      </c>
      <c r="H300" t="s">
        <v>35</v>
      </c>
      <c r="I300">
        <v>3</v>
      </c>
      <c r="J300" s="3">
        <v>78800</v>
      </c>
      <c r="K300" s="3">
        <v>94100</v>
      </c>
      <c r="L300" s="3">
        <v>282300</v>
      </c>
      <c r="M300" s="3">
        <v>45900</v>
      </c>
      <c r="N300" t="s">
        <v>40</v>
      </c>
      <c r="O300" t="s">
        <v>24</v>
      </c>
      <c r="P300">
        <v>90</v>
      </c>
    </row>
    <row r="301" spans="1:16" hidden="1" x14ac:dyDescent="0.35">
      <c r="A301" t="s">
        <v>384</v>
      </c>
      <c r="B301" s="2">
        <v>46066</v>
      </c>
      <c r="C301" t="s">
        <v>119</v>
      </c>
      <c r="D301" t="s">
        <v>120</v>
      </c>
      <c r="E301" t="s">
        <v>54</v>
      </c>
      <c r="F301" t="s">
        <v>83</v>
      </c>
      <c r="G301" t="s">
        <v>29</v>
      </c>
      <c r="H301" t="s">
        <v>50</v>
      </c>
      <c r="I301">
        <v>1</v>
      </c>
      <c r="J301" s="3">
        <v>25400</v>
      </c>
      <c r="K301" s="3">
        <v>32000</v>
      </c>
      <c r="L301" s="3">
        <v>32000</v>
      </c>
      <c r="M301" s="3">
        <v>6600</v>
      </c>
      <c r="N301" t="s">
        <v>37</v>
      </c>
      <c r="O301" t="s">
        <v>45</v>
      </c>
      <c r="P301">
        <v>30</v>
      </c>
    </row>
    <row r="302" spans="1:16" x14ac:dyDescent="0.35">
      <c r="A302" t="s">
        <v>385</v>
      </c>
      <c r="B302" s="2">
        <v>46094</v>
      </c>
      <c r="C302" t="s">
        <v>33</v>
      </c>
      <c r="D302" t="s">
        <v>34</v>
      </c>
      <c r="E302" t="s">
        <v>19</v>
      </c>
      <c r="F302" t="s">
        <v>20</v>
      </c>
      <c r="G302" t="s">
        <v>21</v>
      </c>
      <c r="H302" t="s">
        <v>22</v>
      </c>
      <c r="I302">
        <v>1</v>
      </c>
      <c r="J302" s="3">
        <v>181100</v>
      </c>
      <c r="K302" s="3">
        <v>215300</v>
      </c>
      <c r="L302" s="3">
        <v>215300</v>
      </c>
      <c r="M302" s="3">
        <v>34200</v>
      </c>
      <c r="N302" t="s">
        <v>40</v>
      </c>
      <c r="O302" t="s">
        <v>45</v>
      </c>
      <c r="P302">
        <v>180</v>
      </c>
    </row>
    <row r="303" spans="1:16" x14ac:dyDescent="0.35">
      <c r="A303" t="s">
        <v>386</v>
      </c>
      <c r="B303" s="2">
        <v>46180</v>
      </c>
      <c r="C303" t="s">
        <v>52</v>
      </c>
      <c r="D303" t="s">
        <v>53</v>
      </c>
      <c r="E303" t="s">
        <v>54</v>
      </c>
      <c r="F303" t="s">
        <v>55</v>
      </c>
      <c r="G303" t="s">
        <v>29</v>
      </c>
      <c r="H303" t="s">
        <v>30</v>
      </c>
      <c r="I303">
        <v>1</v>
      </c>
      <c r="J303" s="3">
        <v>9500</v>
      </c>
      <c r="K303" s="3">
        <v>12200</v>
      </c>
      <c r="L303" s="3">
        <v>12200</v>
      </c>
      <c r="M303" s="3">
        <v>2700</v>
      </c>
      <c r="N303" t="s">
        <v>40</v>
      </c>
      <c r="O303" t="s">
        <v>24</v>
      </c>
      <c r="P303">
        <v>30</v>
      </c>
    </row>
    <row r="304" spans="1:16" x14ac:dyDescent="0.35">
      <c r="A304" t="s">
        <v>387</v>
      </c>
      <c r="B304" s="2">
        <v>46252</v>
      </c>
      <c r="C304" t="s">
        <v>111</v>
      </c>
      <c r="D304" t="s">
        <v>112</v>
      </c>
      <c r="E304" t="s">
        <v>19</v>
      </c>
      <c r="F304" t="s">
        <v>83</v>
      </c>
      <c r="G304" t="s">
        <v>77</v>
      </c>
      <c r="H304" t="s">
        <v>50</v>
      </c>
      <c r="I304">
        <v>2</v>
      </c>
      <c r="J304" s="3">
        <v>189600</v>
      </c>
      <c r="K304" s="3">
        <v>233700</v>
      </c>
      <c r="L304" s="3">
        <v>467400</v>
      </c>
      <c r="M304" s="3">
        <v>88200</v>
      </c>
      <c r="N304" t="s">
        <v>40</v>
      </c>
      <c r="O304" t="s">
        <v>24</v>
      </c>
      <c r="P304">
        <v>180</v>
      </c>
    </row>
    <row r="305" spans="1:16" hidden="1" x14ac:dyDescent="0.35">
      <c r="A305" t="s">
        <v>388</v>
      </c>
      <c r="B305" s="2">
        <v>46098</v>
      </c>
      <c r="C305" t="s">
        <v>119</v>
      </c>
      <c r="D305" t="s">
        <v>120</v>
      </c>
      <c r="E305" t="s">
        <v>54</v>
      </c>
      <c r="F305" t="s">
        <v>83</v>
      </c>
      <c r="G305" t="s">
        <v>39</v>
      </c>
      <c r="H305" t="s">
        <v>30</v>
      </c>
      <c r="I305">
        <v>1</v>
      </c>
      <c r="J305" s="3">
        <v>24300</v>
      </c>
      <c r="K305" s="3">
        <v>29400</v>
      </c>
      <c r="L305" s="3">
        <v>29400</v>
      </c>
      <c r="M305" s="3">
        <v>5100</v>
      </c>
      <c r="N305" t="s">
        <v>31</v>
      </c>
      <c r="O305" t="s">
        <v>24</v>
      </c>
      <c r="P305">
        <v>30</v>
      </c>
    </row>
    <row r="306" spans="1:16" hidden="1" x14ac:dyDescent="0.35">
      <c r="A306" t="s">
        <v>389</v>
      </c>
      <c r="B306" s="2">
        <v>46154</v>
      </c>
      <c r="C306" t="s">
        <v>119</v>
      </c>
      <c r="D306" t="s">
        <v>120</v>
      </c>
      <c r="E306" t="s">
        <v>54</v>
      </c>
      <c r="F306" t="s">
        <v>83</v>
      </c>
      <c r="G306" t="s">
        <v>77</v>
      </c>
      <c r="H306" t="s">
        <v>22</v>
      </c>
      <c r="I306">
        <v>1</v>
      </c>
      <c r="J306" s="3">
        <v>15800</v>
      </c>
      <c r="K306" s="3">
        <v>18100</v>
      </c>
      <c r="L306" s="3">
        <v>18100</v>
      </c>
      <c r="M306" s="3">
        <v>2300</v>
      </c>
      <c r="N306" t="s">
        <v>31</v>
      </c>
      <c r="O306" t="s">
        <v>24</v>
      </c>
      <c r="P306">
        <v>30</v>
      </c>
    </row>
    <row r="307" spans="1:16" hidden="1" x14ac:dyDescent="0.35">
      <c r="A307" t="s">
        <v>390</v>
      </c>
      <c r="B307" s="2">
        <v>46054</v>
      </c>
      <c r="C307" t="s">
        <v>90</v>
      </c>
      <c r="D307" t="s">
        <v>91</v>
      </c>
      <c r="E307" t="s">
        <v>19</v>
      </c>
      <c r="F307" t="s">
        <v>92</v>
      </c>
      <c r="G307" t="s">
        <v>29</v>
      </c>
      <c r="H307" t="s">
        <v>30</v>
      </c>
      <c r="I307">
        <v>2</v>
      </c>
      <c r="J307" s="3">
        <v>252500</v>
      </c>
      <c r="K307" s="3">
        <v>308500</v>
      </c>
      <c r="L307" s="3">
        <v>617000</v>
      </c>
      <c r="M307" s="3">
        <v>112000</v>
      </c>
      <c r="N307" t="s">
        <v>37</v>
      </c>
      <c r="O307" t="s">
        <v>24</v>
      </c>
      <c r="P307">
        <v>180</v>
      </c>
    </row>
    <row r="308" spans="1:16" hidden="1" x14ac:dyDescent="0.35">
      <c r="A308" t="s">
        <v>391</v>
      </c>
      <c r="B308" s="2">
        <v>46211</v>
      </c>
      <c r="C308" t="s">
        <v>17</v>
      </c>
      <c r="D308" t="s">
        <v>18</v>
      </c>
      <c r="E308" t="s">
        <v>19</v>
      </c>
      <c r="F308" t="s">
        <v>20</v>
      </c>
      <c r="G308" t="s">
        <v>77</v>
      </c>
      <c r="H308" t="s">
        <v>50</v>
      </c>
      <c r="I308">
        <v>1</v>
      </c>
      <c r="J308" s="3">
        <v>213800</v>
      </c>
      <c r="K308" s="3">
        <v>266700</v>
      </c>
      <c r="L308" s="3">
        <v>266700</v>
      </c>
      <c r="M308" s="3">
        <v>52900</v>
      </c>
      <c r="N308" t="s">
        <v>37</v>
      </c>
      <c r="O308" t="s">
        <v>24</v>
      </c>
      <c r="P308">
        <v>180</v>
      </c>
    </row>
    <row r="309" spans="1:16" hidden="1" x14ac:dyDescent="0.35">
      <c r="A309" t="s">
        <v>392</v>
      </c>
      <c r="B309" s="2">
        <v>46064</v>
      </c>
      <c r="C309" t="s">
        <v>104</v>
      </c>
      <c r="D309" t="s">
        <v>105</v>
      </c>
      <c r="E309" t="s">
        <v>106</v>
      </c>
      <c r="F309" t="s">
        <v>76</v>
      </c>
      <c r="G309" t="s">
        <v>39</v>
      </c>
      <c r="H309" t="s">
        <v>22</v>
      </c>
      <c r="I309">
        <v>1</v>
      </c>
      <c r="J309" s="3">
        <v>33600</v>
      </c>
      <c r="K309" s="3">
        <v>41300</v>
      </c>
      <c r="L309" s="3">
        <v>41300</v>
      </c>
      <c r="M309" s="3">
        <v>7700</v>
      </c>
      <c r="N309" t="s">
        <v>23</v>
      </c>
      <c r="O309" t="s">
        <v>45</v>
      </c>
      <c r="P309">
        <v>90</v>
      </c>
    </row>
    <row r="310" spans="1:16" hidden="1" x14ac:dyDescent="0.35">
      <c r="A310" t="s">
        <v>393</v>
      </c>
      <c r="B310" s="2">
        <v>46286</v>
      </c>
      <c r="C310" t="s">
        <v>81</v>
      </c>
      <c r="D310" t="s">
        <v>82</v>
      </c>
      <c r="E310" t="s">
        <v>44</v>
      </c>
      <c r="F310" t="s">
        <v>83</v>
      </c>
      <c r="G310" t="s">
        <v>77</v>
      </c>
      <c r="H310" t="s">
        <v>30</v>
      </c>
      <c r="I310">
        <v>4</v>
      </c>
      <c r="J310" s="3">
        <v>193700</v>
      </c>
      <c r="K310" s="3">
        <v>252700</v>
      </c>
      <c r="L310" s="3">
        <v>1010800</v>
      </c>
      <c r="M310" s="3">
        <v>236000</v>
      </c>
      <c r="N310" t="s">
        <v>37</v>
      </c>
      <c r="O310" t="s">
        <v>45</v>
      </c>
      <c r="P310">
        <v>180</v>
      </c>
    </row>
    <row r="311" spans="1:16" x14ac:dyDescent="0.35">
      <c r="A311" t="s">
        <v>394</v>
      </c>
      <c r="B311" s="2">
        <v>46069</v>
      </c>
      <c r="C311" t="s">
        <v>52</v>
      </c>
      <c r="D311" t="s">
        <v>53</v>
      </c>
      <c r="E311" t="s">
        <v>54</v>
      </c>
      <c r="F311" t="s">
        <v>55</v>
      </c>
      <c r="G311" t="s">
        <v>77</v>
      </c>
      <c r="H311" t="s">
        <v>22</v>
      </c>
      <c r="I311">
        <v>2</v>
      </c>
      <c r="J311" s="3">
        <v>9300</v>
      </c>
      <c r="K311" s="3">
        <v>11400</v>
      </c>
      <c r="L311" s="3">
        <v>22800</v>
      </c>
      <c r="M311" s="3">
        <v>4200</v>
      </c>
      <c r="N311" t="s">
        <v>40</v>
      </c>
      <c r="O311" t="s">
        <v>24</v>
      </c>
      <c r="P311">
        <v>30</v>
      </c>
    </row>
    <row r="312" spans="1:16" hidden="1" x14ac:dyDescent="0.35">
      <c r="A312" t="s">
        <v>395</v>
      </c>
      <c r="B312" s="2">
        <v>46185</v>
      </c>
      <c r="C312" t="s">
        <v>111</v>
      </c>
      <c r="D312" t="s">
        <v>112</v>
      </c>
      <c r="E312" t="s">
        <v>19</v>
      </c>
      <c r="F312" t="s">
        <v>83</v>
      </c>
      <c r="G312" t="s">
        <v>21</v>
      </c>
      <c r="H312" t="s">
        <v>50</v>
      </c>
      <c r="I312">
        <v>2</v>
      </c>
      <c r="J312" s="3">
        <v>255100</v>
      </c>
      <c r="K312" s="3">
        <v>305600</v>
      </c>
      <c r="L312" s="3">
        <v>611200</v>
      </c>
      <c r="M312" s="3">
        <v>101000</v>
      </c>
      <c r="N312" t="s">
        <v>23</v>
      </c>
      <c r="O312" t="s">
        <v>24</v>
      </c>
      <c r="P312">
        <v>180</v>
      </c>
    </row>
    <row r="313" spans="1:16" hidden="1" x14ac:dyDescent="0.35">
      <c r="A313" t="s">
        <v>396</v>
      </c>
      <c r="B313" s="2">
        <v>46055</v>
      </c>
      <c r="C313" t="s">
        <v>66</v>
      </c>
      <c r="D313" t="s">
        <v>67</v>
      </c>
      <c r="E313" t="s">
        <v>44</v>
      </c>
      <c r="F313" t="s">
        <v>20</v>
      </c>
      <c r="G313" t="s">
        <v>77</v>
      </c>
      <c r="H313" t="s">
        <v>50</v>
      </c>
      <c r="I313">
        <v>-1</v>
      </c>
      <c r="J313" s="3">
        <v>179500</v>
      </c>
      <c r="K313" s="3">
        <v>216600</v>
      </c>
      <c r="L313" s="3">
        <v>-216600</v>
      </c>
      <c r="M313" s="3">
        <v>-37100</v>
      </c>
      <c r="N313" t="s">
        <v>23</v>
      </c>
      <c r="O313" t="s">
        <v>60</v>
      </c>
      <c r="P313">
        <v>180</v>
      </c>
    </row>
    <row r="314" spans="1:16" hidden="1" x14ac:dyDescent="0.35">
      <c r="A314" t="s">
        <v>397</v>
      </c>
      <c r="B314" s="2">
        <v>46294</v>
      </c>
      <c r="C314" t="s">
        <v>33</v>
      </c>
      <c r="D314" t="s">
        <v>34</v>
      </c>
      <c r="E314" t="s">
        <v>19</v>
      </c>
      <c r="F314" t="s">
        <v>20</v>
      </c>
      <c r="G314" t="s">
        <v>77</v>
      </c>
      <c r="H314" t="s">
        <v>50</v>
      </c>
      <c r="I314">
        <v>1</v>
      </c>
      <c r="J314" s="3">
        <v>279100</v>
      </c>
      <c r="K314" s="3">
        <v>351700</v>
      </c>
      <c r="L314" s="3">
        <v>351700</v>
      </c>
      <c r="M314" s="3">
        <v>72600</v>
      </c>
      <c r="N314" t="s">
        <v>31</v>
      </c>
      <c r="O314" t="s">
        <v>24</v>
      </c>
      <c r="P314">
        <v>180</v>
      </c>
    </row>
    <row r="315" spans="1:16" hidden="1" x14ac:dyDescent="0.35">
      <c r="A315" t="s">
        <v>398</v>
      </c>
      <c r="B315" s="2">
        <v>46042</v>
      </c>
      <c r="C315" t="s">
        <v>111</v>
      </c>
      <c r="D315" t="s">
        <v>112</v>
      </c>
      <c r="E315" t="s">
        <v>19</v>
      </c>
      <c r="F315" t="s">
        <v>83</v>
      </c>
      <c r="G315" t="s">
        <v>77</v>
      </c>
      <c r="H315" t="s">
        <v>30</v>
      </c>
      <c r="I315">
        <v>2</v>
      </c>
      <c r="J315" s="3">
        <v>285000</v>
      </c>
      <c r="K315" s="3">
        <v>369000</v>
      </c>
      <c r="L315" s="3">
        <v>738000</v>
      </c>
      <c r="M315" s="3">
        <v>168000</v>
      </c>
      <c r="N315" t="s">
        <v>31</v>
      </c>
      <c r="O315" t="s">
        <v>24</v>
      </c>
      <c r="P315">
        <v>180</v>
      </c>
    </row>
    <row r="316" spans="1:16" hidden="1" x14ac:dyDescent="0.35">
      <c r="A316" t="s">
        <v>399</v>
      </c>
      <c r="B316" s="2">
        <v>46281</v>
      </c>
      <c r="C316" t="s">
        <v>73</v>
      </c>
      <c r="D316" t="s">
        <v>74</v>
      </c>
      <c r="E316" t="s">
        <v>75</v>
      </c>
      <c r="F316" t="s">
        <v>76</v>
      </c>
      <c r="G316" t="s">
        <v>21</v>
      </c>
      <c r="H316" t="s">
        <v>35</v>
      </c>
      <c r="I316">
        <v>2</v>
      </c>
      <c r="J316" s="3">
        <v>28200</v>
      </c>
      <c r="K316" s="3">
        <v>35600</v>
      </c>
      <c r="L316" s="3">
        <v>71200</v>
      </c>
      <c r="M316" s="3">
        <v>14800</v>
      </c>
      <c r="N316" t="s">
        <v>23</v>
      </c>
      <c r="O316" t="s">
        <v>24</v>
      </c>
      <c r="P316">
        <v>90</v>
      </c>
    </row>
    <row r="317" spans="1:16" hidden="1" x14ac:dyDescent="0.35">
      <c r="A317" t="s">
        <v>400</v>
      </c>
      <c r="B317" s="2">
        <v>46086</v>
      </c>
      <c r="C317" t="s">
        <v>87</v>
      </c>
      <c r="D317" t="s">
        <v>88</v>
      </c>
      <c r="E317" t="s">
        <v>75</v>
      </c>
      <c r="F317" t="s">
        <v>76</v>
      </c>
      <c r="G317" t="s">
        <v>29</v>
      </c>
      <c r="H317" t="s">
        <v>22</v>
      </c>
      <c r="I317">
        <v>1</v>
      </c>
      <c r="J317" s="3">
        <v>68000</v>
      </c>
      <c r="K317" s="3">
        <v>78400</v>
      </c>
      <c r="L317" s="3">
        <v>78400</v>
      </c>
      <c r="M317" s="3">
        <v>10400</v>
      </c>
      <c r="N317" t="s">
        <v>23</v>
      </c>
      <c r="O317" t="s">
        <v>24</v>
      </c>
      <c r="P317">
        <v>90</v>
      </c>
    </row>
    <row r="318" spans="1:16" x14ac:dyDescent="0.35">
      <c r="A318" t="s">
        <v>401</v>
      </c>
      <c r="B318" s="2">
        <v>46118</v>
      </c>
      <c r="C318" t="s">
        <v>33</v>
      </c>
      <c r="D318" t="s">
        <v>34</v>
      </c>
      <c r="E318" t="s">
        <v>19</v>
      </c>
      <c r="F318" t="s">
        <v>20</v>
      </c>
      <c r="G318" t="s">
        <v>39</v>
      </c>
      <c r="H318" t="s">
        <v>30</v>
      </c>
      <c r="I318">
        <v>1</v>
      </c>
      <c r="J318" s="3">
        <v>214200</v>
      </c>
      <c r="K318" s="3">
        <v>260100</v>
      </c>
      <c r="L318" s="3">
        <v>260100</v>
      </c>
      <c r="M318" s="3">
        <v>45900</v>
      </c>
      <c r="N318" t="s">
        <v>40</v>
      </c>
      <c r="O318" t="s">
        <v>24</v>
      </c>
      <c r="P318">
        <v>180</v>
      </c>
    </row>
    <row r="319" spans="1:16" x14ac:dyDescent="0.35">
      <c r="A319" t="s">
        <v>402</v>
      </c>
      <c r="B319" s="2">
        <v>46217</v>
      </c>
      <c r="C319" t="s">
        <v>57</v>
      </c>
      <c r="D319" t="s">
        <v>58</v>
      </c>
      <c r="E319" t="s">
        <v>49</v>
      </c>
      <c r="F319" t="s">
        <v>59</v>
      </c>
      <c r="G319" t="s">
        <v>39</v>
      </c>
      <c r="H319" t="s">
        <v>22</v>
      </c>
      <c r="I319">
        <v>1</v>
      </c>
      <c r="J319" s="3">
        <v>78700</v>
      </c>
      <c r="K319" s="3">
        <v>102600</v>
      </c>
      <c r="L319" s="3">
        <v>102600</v>
      </c>
      <c r="M319" s="3">
        <v>23900</v>
      </c>
      <c r="N319" t="s">
        <v>40</v>
      </c>
      <c r="O319" t="s">
        <v>24</v>
      </c>
      <c r="P319">
        <v>90</v>
      </c>
    </row>
    <row r="320" spans="1:16" hidden="1" x14ac:dyDescent="0.35">
      <c r="A320" t="s">
        <v>403</v>
      </c>
      <c r="B320" s="2">
        <v>46265</v>
      </c>
      <c r="C320" t="s">
        <v>66</v>
      </c>
      <c r="D320" t="s">
        <v>67</v>
      </c>
      <c r="E320" t="s">
        <v>44</v>
      </c>
      <c r="F320" t="s">
        <v>20</v>
      </c>
      <c r="G320" t="s">
        <v>77</v>
      </c>
      <c r="H320" t="s">
        <v>35</v>
      </c>
      <c r="I320">
        <v>4</v>
      </c>
      <c r="J320" s="3">
        <v>258500</v>
      </c>
      <c r="K320" s="3">
        <v>340300</v>
      </c>
      <c r="L320" s="3">
        <v>1361200</v>
      </c>
      <c r="M320" s="3">
        <v>327200</v>
      </c>
      <c r="N320" t="s">
        <v>31</v>
      </c>
      <c r="O320" t="s">
        <v>24</v>
      </c>
      <c r="P320">
        <v>180</v>
      </c>
    </row>
    <row r="321" spans="1:16" hidden="1" x14ac:dyDescent="0.35">
      <c r="A321" t="s">
        <v>404</v>
      </c>
      <c r="B321" s="2">
        <v>46182</v>
      </c>
      <c r="C321" t="s">
        <v>26</v>
      </c>
      <c r="D321" t="s">
        <v>27</v>
      </c>
      <c r="E321" t="s">
        <v>19</v>
      </c>
      <c r="F321" t="s">
        <v>28</v>
      </c>
      <c r="G321" t="s">
        <v>29</v>
      </c>
      <c r="H321" t="s">
        <v>30</v>
      </c>
      <c r="I321">
        <v>-1</v>
      </c>
      <c r="J321" s="3">
        <v>257400</v>
      </c>
      <c r="K321" s="3">
        <v>288700</v>
      </c>
      <c r="L321" s="3">
        <v>-288700</v>
      </c>
      <c r="M321" s="3">
        <v>-31300</v>
      </c>
      <c r="N321" t="s">
        <v>31</v>
      </c>
      <c r="O321" t="s">
        <v>60</v>
      </c>
      <c r="P321">
        <v>180</v>
      </c>
    </row>
    <row r="322" spans="1:16" hidden="1" x14ac:dyDescent="0.35">
      <c r="O322">
        <f>COUNTIF(O2:O321,"completed")</f>
        <v>170</v>
      </c>
    </row>
    <row r="323" spans="1:16" hidden="1" x14ac:dyDescent="0.35"/>
    <row r="324" spans="1:16" x14ac:dyDescent="0.35">
      <c r="O324">
        <f>COUNTIF(O6:O319,"returned")</f>
        <v>79</v>
      </c>
    </row>
    <row r="326" spans="1:16" x14ac:dyDescent="0.35">
      <c r="M326" t="s">
        <v>423</v>
      </c>
      <c r="N326" t="s">
        <v>419</v>
      </c>
      <c r="O326">
        <v>161</v>
      </c>
    </row>
    <row r="327" spans="1:16" x14ac:dyDescent="0.35">
      <c r="M327" t="s">
        <v>423</v>
      </c>
      <c r="N327" t="s">
        <v>420</v>
      </c>
      <c r="O327">
        <v>69</v>
      </c>
    </row>
    <row r="328" spans="1:16" x14ac:dyDescent="0.35">
      <c r="M328" t="s">
        <v>423</v>
      </c>
      <c r="N328" t="s">
        <v>421</v>
      </c>
      <c r="O328">
        <v>76</v>
      </c>
    </row>
  </sheetData>
  <autoFilter ref="A1:P323" xr:uid="{00000000-0009-0000-0000-000000000000}">
    <filterColumn colId="13">
      <filters>
        <filter val="Bank Transfer"/>
      </filters>
    </filterColumn>
  </autoFilter>
  <conditionalFormatting sqref="O1:O1048576">
    <cfRule type="containsText" dxfId="14" priority="1" operator="containsText" text="comple">
      <formula>NOT(ISERROR(SEARCH("comple",O1)))</formula>
    </cfRule>
    <cfRule type="containsText" dxfId="13" priority="2" operator="containsText" text="pending">
      <formula>NOT(ISERROR(SEARCH("pending",O1)))</formula>
    </cfRule>
    <cfRule type="containsText" dxfId="12" priority="3" operator="containsText" text="ret">
      <formula>NOT(ISERROR(SEARCH("ret",O1)))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7C21-A64E-401C-87F6-424A89782789}">
  <sheetPr>
    <tabColor theme="5" tint="-0.249977111117893"/>
  </sheetPr>
  <dimension ref="A1:C29"/>
  <sheetViews>
    <sheetView showGridLines="0" tabSelected="1" workbookViewId="0">
      <selection activeCell="L15" sqref="L15"/>
    </sheetView>
  </sheetViews>
  <sheetFormatPr defaultRowHeight="14.5" x14ac:dyDescent="0.35"/>
  <cols>
    <col min="1" max="1" width="19.54296875" customWidth="1"/>
    <col min="2" max="2" width="16.08984375" bestFit="1" customWidth="1"/>
  </cols>
  <sheetData>
    <row r="1" spans="1:3" x14ac:dyDescent="0.35">
      <c r="A1" s="8" t="s">
        <v>449</v>
      </c>
    </row>
    <row r="2" spans="1:3" x14ac:dyDescent="0.35">
      <c r="A2" t="s">
        <v>414</v>
      </c>
      <c r="B2">
        <v>20</v>
      </c>
    </row>
    <row r="3" spans="1:3" x14ac:dyDescent="0.35">
      <c r="A3" t="s">
        <v>414</v>
      </c>
      <c r="B3">
        <v>21</v>
      </c>
    </row>
    <row r="7" spans="1:3" x14ac:dyDescent="0.35">
      <c r="A7" s="13" t="s">
        <v>418</v>
      </c>
      <c r="B7" s="13"/>
    </row>
    <row r="8" spans="1:3" x14ac:dyDescent="0.35">
      <c r="A8" t="s">
        <v>416</v>
      </c>
      <c r="B8" t="s">
        <v>415</v>
      </c>
      <c r="C8">
        <v>169</v>
      </c>
    </row>
    <row r="9" spans="1:3" x14ac:dyDescent="0.35">
      <c r="A9" t="s">
        <v>416</v>
      </c>
      <c r="B9" t="s">
        <v>417</v>
      </c>
      <c r="C9">
        <v>70</v>
      </c>
    </row>
    <row r="10" spans="1:3" x14ac:dyDescent="0.35">
      <c r="A10" t="s">
        <v>416</v>
      </c>
      <c r="B10" t="s">
        <v>60</v>
      </c>
      <c r="C10">
        <v>80</v>
      </c>
    </row>
    <row r="11" spans="1:3" x14ac:dyDescent="0.35">
      <c r="B11" s="8" t="s">
        <v>424</v>
      </c>
      <c r="C11">
        <f>SUM(C8:C10)</f>
        <v>319</v>
      </c>
    </row>
    <row r="12" spans="1:3" x14ac:dyDescent="0.35">
      <c r="A12" s="13" t="s">
        <v>418</v>
      </c>
      <c r="B12" s="13"/>
    </row>
    <row r="13" spans="1:3" x14ac:dyDescent="0.35">
      <c r="A13" t="s">
        <v>422</v>
      </c>
      <c r="B13" t="s">
        <v>419</v>
      </c>
      <c r="C13">
        <v>165</v>
      </c>
    </row>
    <row r="14" spans="1:3" x14ac:dyDescent="0.35">
      <c r="A14" t="s">
        <v>422</v>
      </c>
      <c r="B14" t="s">
        <v>420</v>
      </c>
      <c r="C14">
        <v>70</v>
      </c>
    </row>
    <row r="15" spans="1:3" x14ac:dyDescent="0.35">
      <c r="A15" t="s">
        <v>422</v>
      </c>
      <c r="B15" t="s">
        <v>421</v>
      </c>
      <c r="C15">
        <v>79</v>
      </c>
    </row>
    <row r="16" spans="1:3" x14ac:dyDescent="0.35">
      <c r="B16" s="8" t="s">
        <v>424</v>
      </c>
      <c r="C16">
        <f>SUM(C13:C15)</f>
        <v>314</v>
      </c>
    </row>
    <row r="17" spans="1:3" x14ac:dyDescent="0.35">
      <c r="A17" s="13" t="s">
        <v>418</v>
      </c>
      <c r="B17" s="13"/>
    </row>
    <row r="18" spans="1:3" x14ac:dyDescent="0.35">
      <c r="A18" t="s">
        <v>21</v>
      </c>
      <c r="B18" t="s">
        <v>419</v>
      </c>
      <c r="C18">
        <v>166</v>
      </c>
    </row>
    <row r="19" spans="1:3" x14ac:dyDescent="0.35">
      <c r="A19" t="s">
        <v>21</v>
      </c>
      <c r="B19" t="s">
        <v>420</v>
      </c>
      <c r="C19">
        <v>70</v>
      </c>
    </row>
    <row r="20" spans="1:3" x14ac:dyDescent="0.35">
      <c r="A20" t="s">
        <v>21</v>
      </c>
      <c r="B20" t="s">
        <v>421</v>
      </c>
      <c r="C20">
        <v>79</v>
      </c>
    </row>
    <row r="21" spans="1:3" x14ac:dyDescent="0.35">
      <c r="B21" s="8" t="s">
        <v>424</v>
      </c>
      <c r="C21">
        <f>SUM(C18:C20)</f>
        <v>315</v>
      </c>
    </row>
    <row r="22" spans="1:3" x14ac:dyDescent="0.35">
      <c r="A22" s="13" t="s">
        <v>418</v>
      </c>
      <c r="B22" s="13"/>
    </row>
    <row r="23" spans="1:3" x14ac:dyDescent="0.35">
      <c r="A23" t="s">
        <v>423</v>
      </c>
      <c r="B23" t="s">
        <v>419</v>
      </c>
      <c r="C23">
        <v>161</v>
      </c>
    </row>
    <row r="24" spans="1:3" x14ac:dyDescent="0.35">
      <c r="A24" t="s">
        <v>423</v>
      </c>
      <c r="B24" t="s">
        <v>420</v>
      </c>
      <c r="C24">
        <v>69</v>
      </c>
    </row>
    <row r="25" spans="1:3" x14ac:dyDescent="0.35">
      <c r="A25" t="s">
        <v>423</v>
      </c>
      <c r="B25" t="s">
        <v>421</v>
      </c>
      <c r="C25">
        <v>76</v>
      </c>
    </row>
    <row r="26" spans="1:3" x14ac:dyDescent="0.35">
      <c r="B26" s="8" t="s">
        <v>424</v>
      </c>
      <c r="C26">
        <f>SUM(C23:C25)</f>
        <v>306</v>
      </c>
    </row>
    <row r="29" spans="1:3" x14ac:dyDescent="0.35">
      <c r="B29" t="s">
        <v>448</v>
      </c>
      <c r="C29">
        <v>80</v>
      </c>
    </row>
  </sheetData>
  <mergeCells count="4">
    <mergeCell ref="A7:B7"/>
    <mergeCell ref="A12:B12"/>
    <mergeCell ref="A17:B17"/>
    <mergeCell ref="A22:B22"/>
  </mergeCells>
  <phoneticPr fontId="4" type="noConversion"/>
  <conditionalFormatting sqref="C8:C10">
    <cfRule type="containsText" dxfId="11" priority="10" operator="containsText" text="comple">
      <formula>NOT(ISERROR(SEARCH("comple",C8)))</formula>
    </cfRule>
    <cfRule type="containsText" dxfId="10" priority="11" operator="containsText" text="pending">
      <formula>NOT(ISERROR(SEARCH("pending",C8)))</formula>
    </cfRule>
    <cfRule type="containsText" dxfId="9" priority="12" operator="containsText" text="ret">
      <formula>NOT(ISERROR(SEARCH("ret",C8)))</formula>
    </cfRule>
  </conditionalFormatting>
  <conditionalFormatting sqref="C13:C15">
    <cfRule type="containsText" dxfId="8" priority="7" operator="containsText" text="comple">
      <formula>NOT(ISERROR(SEARCH("comple",C13)))</formula>
    </cfRule>
    <cfRule type="containsText" dxfId="7" priority="8" operator="containsText" text="pending">
      <formula>NOT(ISERROR(SEARCH("pending",C13)))</formula>
    </cfRule>
    <cfRule type="containsText" dxfId="6" priority="9" operator="containsText" text="ret">
      <formula>NOT(ISERROR(SEARCH("ret",C13)))</formula>
    </cfRule>
  </conditionalFormatting>
  <conditionalFormatting sqref="C18:C20">
    <cfRule type="containsText" dxfId="5" priority="4" operator="containsText" text="comple">
      <formula>NOT(ISERROR(SEARCH("comple",C18)))</formula>
    </cfRule>
    <cfRule type="containsText" dxfId="4" priority="5" operator="containsText" text="pending">
      <formula>NOT(ISERROR(SEARCH("pending",C18)))</formula>
    </cfRule>
    <cfRule type="containsText" dxfId="3" priority="6" operator="containsText" text="ret">
      <formula>NOT(ISERROR(SEARCH("ret",C18)))</formula>
    </cfRule>
  </conditionalFormatting>
  <conditionalFormatting sqref="C23:C26">
    <cfRule type="containsText" dxfId="2" priority="1" operator="containsText" text="comple">
      <formula>NOT(ISERROR(SEARCH("comple",C23)))</formula>
    </cfRule>
    <cfRule type="containsText" dxfId="1" priority="2" operator="containsText" text="pending">
      <formula>NOT(ISERROR(SEARCH("pending",C23)))</formula>
    </cfRule>
    <cfRule type="containsText" dxfId="0" priority="3" operator="containsText" text="ret">
      <formula>NOT(ISERROR(SEARCH("ret",C23)))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033E-45C2-466F-AFFD-01F76F3FA848}">
  <sheetPr>
    <tabColor theme="5" tint="-0.249977111117893"/>
  </sheetPr>
  <dimension ref="A3:B8"/>
  <sheetViews>
    <sheetView workbookViewId="0">
      <selection activeCell="A18" sqref="A18"/>
    </sheetView>
  </sheetViews>
  <sheetFormatPr defaultRowHeight="14.5" x14ac:dyDescent="0.35"/>
  <cols>
    <col min="1" max="1" width="13.26953125" bestFit="1" customWidth="1"/>
    <col min="2" max="2" width="24.1796875" bestFit="1" customWidth="1"/>
  </cols>
  <sheetData>
    <row r="3" spans="1:2" x14ac:dyDescent="0.35">
      <c r="A3" s="5" t="s">
        <v>411</v>
      </c>
      <c r="B3" t="s">
        <v>413</v>
      </c>
    </row>
    <row r="4" spans="1:2" x14ac:dyDescent="0.35">
      <c r="A4" s="6" t="s">
        <v>35</v>
      </c>
      <c r="B4" s="3">
        <v>6939300</v>
      </c>
    </row>
    <row r="5" spans="1:2" x14ac:dyDescent="0.35">
      <c r="A5" s="6" t="s">
        <v>50</v>
      </c>
      <c r="B5" s="3">
        <v>11803200</v>
      </c>
    </row>
    <row r="6" spans="1:2" x14ac:dyDescent="0.35">
      <c r="A6" s="6" t="s">
        <v>30</v>
      </c>
      <c r="B6" s="3">
        <v>11655400</v>
      </c>
    </row>
    <row r="7" spans="1:2" x14ac:dyDescent="0.35">
      <c r="A7" s="6" t="s">
        <v>22</v>
      </c>
      <c r="B7" s="3">
        <v>14385700</v>
      </c>
    </row>
    <row r="8" spans="1:2" x14ac:dyDescent="0.35">
      <c r="A8" s="6" t="s">
        <v>412</v>
      </c>
      <c r="B8" s="3">
        <v>44783600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61C4-177C-4C14-BC1F-FA6A18519069}">
  <sheetPr>
    <tabColor theme="5" tint="-0.249977111117893"/>
  </sheetPr>
  <dimension ref="A1:A35"/>
  <sheetViews>
    <sheetView showGridLines="0" topLeftCell="A15" zoomScale="78" workbookViewId="0">
      <selection activeCell="A38" sqref="A38"/>
    </sheetView>
  </sheetViews>
  <sheetFormatPr defaultRowHeight="14.5" x14ac:dyDescent="0.35"/>
  <cols>
    <col min="1" max="1" width="157.1796875" customWidth="1"/>
  </cols>
  <sheetData>
    <row r="1" spans="1:1" ht="18.5" x14ac:dyDescent="0.35">
      <c r="A1" s="12" t="s">
        <v>425</v>
      </c>
    </row>
    <row r="2" spans="1:1" x14ac:dyDescent="0.35">
      <c r="A2" s="8"/>
    </row>
    <row r="3" spans="1:1" ht="18.5" x14ac:dyDescent="0.45">
      <c r="A3" s="10" t="s">
        <v>426</v>
      </c>
    </row>
    <row r="5" spans="1:1" ht="18.5" x14ac:dyDescent="0.45">
      <c r="A5" s="10" t="s">
        <v>438</v>
      </c>
    </row>
    <row r="6" spans="1:1" x14ac:dyDescent="0.35">
      <c r="A6" t="s">
        <v>434</v>
      </c>
    </row>
    <row r="7" spans="1:1" x14ac:dyDescent="0.35">
      <c r="A7" t="s">
        <v>435</v>
      </c>
    </row>
    <row r="8" spans="1:1" x14ac:dyDescent="0.35">
      <c r="A8" t="s">
        <v>427</v>
      </c>
    </row>
    <row r="10" spans="1:1" ht="18.5" x14ac:dyDescent="0.45">
      <c r="A10" s="11" t="s">
        <v>447</v>
      </c>
    </row>
    <row r="11" spans="1:1" ht="15.5" x14ac:dyDescent="0.35">
      <c r="A11" s="9" t="s">
        <v>437</v>
      </c>
    </row>
    <row r="13" spans="1:1" x14ac:dyDescent="0.35">
      <c r="A13" t="s">
        <v>439</v>
      </c>
    </row>
    <row r="14" spans="1:1" x14ac:dyDescent="0.35">
      <c r="A14" t="s">
        <v>428</v>
      </c>
    </row>
    <row r="16" spans="1:1" x14ac:dyDescent="0.35">
      <c r="A16" t="s">
        <v>440</v>
      </c>
    </row>
    <row r="17" spans="1:1" x14ac:dyDescent="0.35">
      <c r="A17" t="s">
        <v>429</v>
      </c>
    </row>
    <row r="19" spans="1:1" x14ac:dyDescent="0.35">
      <c r="A19" t="s">
        <v>441</v>
      </c>
    </row>
    <row r="20" spans="1:1" x14ac:dyDescent="0.35">
      <c r="A20" t="s">
        <v>430</v>
      </c>
    </row>
    <row r="22" spans="1:1" x14ac:dyDescent="0.35">
      <c r="A22" t="s">
        <v>442</v>
      </c>
    </row>
    <row r="23" spans="1:1" x14ac:dyDescent="0.35">
      <c r="A23" t="s">
        <v>431</v>
      </c>
    </row>
    <row r="25" spans="1:1" x14ac:dyDescent="0.35">
      <c r="A25" t="s">
        <v>443</v>
      </c>
    </row>
    <row r="26" spans="1:1" x14ac:dyDescent="0.35">
      <c r="A26" t="s">
        <v>432</v>
      </c>
    </row>
    <row r="28" spans="1:1" x14ac:dyDescent="0.35">
      <c r="A28" t="s">
        <v>444</v>
      </c>
    </row>
    <row r="30" spans="1:1" ht="15.5" x14ac:dyDescent="0.35">
      <c r="A30" s="9" t="s">
        <v>445</v>
      </c>
    </row>
    <row r="31" spans="1:1" x14ac:dyDescent="0.35">
      <c r="A31" t="s">
        <v>433</v>
      </c>
    </row>
    <row r="33" spans="1:1" x14ac:dyDescent="0.35">
      <c r="A33" s="8" t="s">
        <v>446</v>
      </c>
    </row>
    <row r="35" spans="1:1" x14ac:dyDescent="0.35">
      <c r="A35" s="8" t="s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260C-9290-4B44-87E0-98C0CD0AA36E}">
  <sheetPr>
    <tabColor theme="5" tint="-0.249977111117893"/>
  </sheetPr>
  <dimension ref="A3:B7"/>
  <sheetViews>
    <sheetView workbookViewId="0">
      <selection activeCell="A18" sqref="A18"/>
    </sheetView>
  </sheetViews>
  <sheetFormatPr defaultRowHeight="14.5" x14ac:dyDescent="0.35"/>
  <cols>
    <col min="1" max="1" width="12.36328125" bestFit="1" customWidth="1"/>
    <col min="2" max="2" width="24.1796875" bestFit="1" customWidth="1"/>
  </cols>
  <sheetData>
    <row r="3" spans="1:2" x14ac:dyDescent="0.35">
      <c r="A3" s="5" t="s">
        <v>411</v>
      </c>
      <c r="B3" t="s">
        <v>413</v>
      </c>
    </row>
    <row r="4" spans="1:2" x14ac:dyDescent="0.35">
      <c r="A4" s="6" t="s">
        <v>24</v>
      </c>
      <c r="B4" s="7">
        <v>48333600</v>
      </c>
    </row>
    <row r="5" spans="1:2" x14ac:dyDescent="0.35">
      <c r="A5" s="6" t="s">
        <v>45</v>
      </c>
      <c r="B5" s="7">
        <v>21735500</v>
      </c>
    </row>
    <row r="6" spans="1:2" x14ac:dyDescent="0.35">
      <c r="A6" s="6" t="s">
        <v>60</v>
      </c>
      <c r="B6" s="7">
        <v>-25285500</v>
      </c>
    </row>
    <row r="7" spans="1:2" x14ac:dyDescent="0.35">
      <c r="A7" s="6" t="s">
        <v>412</v>
      </c>
      <c r="B7" s="7">
        <v>44783600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C0A0-2BA4-4F7B-8D76-90005DB8C96B}">
  <sheetPr>
    <tabColor theme="5" tint="-0.249977111117893"/>
  </sheetPr>
  <dimension ref="A3:B8"/>
  <sheetViews>
    <sheetView topLeftCell="A14" workbookViewId="0">
      <selection activeCell="A18" sqref="A18"/>
    </sheetView>
  </sheetViews>
  <sheetFormatPr defaultRowHeight="14.5" x14ac:dyDescent="0.35"/>
  <cols>
    <col min="1" max="1" width="13.36328125" bestFit="1" customWidth="1"/>
    <col min="2" max="2" width="24.1796875" bestFit="1" customWidth="1"/>
  </cols>
  <sheetData>
    <row r="3" spans="1:2" x14ac:dyDescent="0.35">
      <c r="A3" s="5" t="s">
        <v>411</v>
      </c>
      <c r="B3" t="s">
        <v>413</v>
      </c>
    </row>
    <row r="4" spans="1:2" x14ac:dyDescent="0.35">
      <c r="A4" s="6" t="s">
        <v>29</v>
      </c>
      <c r="B4" s="7">
        <v>9401000</v>
      </c>
    </row>
    <row r="5" spans="1:2" x14ac:dyDescent="0.35">
      <c r="A5" s="6" t="s">
        <v>39</v>
      </c>
      <c r="B5" s="7">
        <v>7813400</v>
      </c>
    </row>
    <row r="6" spans="1:2" x14ac:dyDescent="0.35">
      <c r="A6" s="6" t="s">
        <v>21</v>
      </c>
      <c r="B6" s="7">
        <v>15835500</v>
      </c>
    </row>
    <row r="7" spans="1:2" x14ac:dyDescent="0.35">
      <c r="A7" s="6" t="s">
        <v>77</v>
      </c>
      <c r="B7" s="7">
        <v>11733700</v>
      </c>
    </row>
    <row r="8" spans="1:2" x14ac:dyDescent="0.35">
      <c r="A8" s="6" t="s">
        <v>412</v>
      </c>
      <c r="B8" s="7">
        <v>44783600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6CD6-6F83-4B2E-AFE0-5EF9BAB55382}">
  <sheetPr>
    <tabColor theme="5" tint="-0.249977111117893"/>
  </sheetPr>
  <dimension ref="A1"/>
  <sheetViews>
    <sheetView showGridLines="0" topLeftCell="A13" zoomScale="73" workbookViewId="0">
      <selection activeCell="A18" sqref="A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E90" sqref="E90"/>
    </sheetView>
  </sheetViews>
  <sheetFormatPr defaultRowHeight="14.5" x14ac:dyDescent="0.35"/>
  <cols>
    <col min="1" max="1" width="25" customWidth="1"/>
    <col min="2" max="2" width="100" customWidth="1"/>
  </cols>
  <sheetData>
    <row r="1" spans="1:2" ht="21" x14ac:dyDescent="0.5">
      <c r="A1" s="4" t="s">
        <v>405</v>
      </c>
    </row>
    <row r="2" spans="1:2" x14ac:dyDescent="0.35">
      <c r="A2" t="s">
        <v>406</v>
      </c>
      <c r="B2" t="s">
        <v>407</v>
      </c>
    </row>
    <row r="3" spans="1:2" x14ac:dyDescent="0.35">
      <c r="A3" t="s">
        <v>408</v>
      </c>
      <c r="B3">
        <v>320</v>
      </c>
    </row>
    <row r="5" spans="1:2" x14ac:dyDescent="0.35">
      <c r="A5" t="s">
        <v>409</v>
      </c>
      <c r="B5" t="s">
        <v>410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15" activePane="bottomLeft" state="frozen"/>
      <selection activeCell="E90" sqref="E90"/>
      <selection pane="bottomLeft" activeCell="E90" sqref="E90"/>
    </sheetView>
  </sheetViews>
  <sheetFormatPr defaultRowHeight="14.5" x14ac:dyDescent="0.35"/>
  <cols>
    <col min="1" max="1" width="14" customWidth="1"/>
    <col min="2" max="2" width="30" customWidth="1"/>
    <col min="3" max="4" width="16" customWidth="1"/>
  </cols>
  <sheetData>
    <row r="1" spans="1:4" x14ac:dyDescent="0.3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33</v>
      </c>
      <c r="B2" t="s">
        <v>34</v>
      </c>
      <c r="C2" t="s">
        <v>19</v>
      </c>
      <c r="D2" t="s">
        <v>20</v>
      </c>
    </row>
    <row r="3" spans="1:4" x14ac:dyDescent="0.35">
      <c r="A3" t="s">
        <v>101</v>
      </c>
      <c r="B3" t="s">
        <v>102</v>
      </c>
      <c r="C3" t="s">
        <v>19</v>
      </c>
      <c r="D3" t="s">
        <v>83</v>
      </c>
    </row>
    <row r="4" spans="1:4" x14ac:dyDescent="0.35">
      <c r="A4" t="s">
        <v>26</v>
      </c>
      <c r="B4" t="s">
        <v>27</v>
      </c>
      <c r="C4" t="s">
        <v>19</v>
      </c>
      <c r="D4" t="s">
        <v>28</v>
      </c>
    </row>
    <row r="5" spans="1:4" x14ac:dyDescent="0.35">
      <c r="A5" t="s">
        <v>17</v>
      </c>
      <c r="B5" t="s">
        <v>18</v>
      </c>
      <c r="C5" t="s">
        <v>19</v>
      </c>
      <c r="D5" t="s">
        <v>20</v>
      </c>
    </row>
    <row r="6" spans="1:4" x14ac:dyDescent="0.35">
      <c r="A6" t="s">
        <v>111</v>
      </c>
      <c r="B6" t="s">
        <v>112</v>
      </c>
      <c r="C6" t="s">
        <v>19</v>
      </c>
      <c r="D6" t="s">
        <v>83</v>
      </c>
    </row>
    <row r="7" spans="1:4" x14ac:dyDescent="0.35">
      <c r="A7" t="s">
        <v>95</v>
      </c>
      <c r="B7" t="s">
        <v>96</v>
      </c>
      <c r="C7" t="s">
        <v>19</v>
      </c>
      <c r="D7" t="s">
        <v>28</v>
      </c>
    </row>
    <row r="8" spans="1:4" x14ac:dyDescent="0.35">
      <c r="A8" t="s">
        <v>90</v>
      </c>
      <c r="B8" t="s">
        <v>91</v>
      </c>
      <c r="C8" t="s">
        <v>19</v>
      </c>
      <c r="D8" t="s">
        <v>92</v>
      </c>
    </row>
    <row r="9" spans="1:4" x14ac:dyDescent="0.35">
      <c r="A9" t="s">
        <v>66</v>
      </c>
      <c r="B9" t="s">
        <v>67</v>
      </c>
      <c r="C9" t="s">
        <v>44</v>
      </c>
      <c r="D9" t="s">
        <v>20</v>
      </c>
    </row>
    <row r="10" spans="1:4" x14ac:dyDescent="0.35">
      <c r="A10" t="s">
        <v>81</v>
      </c>
      <c r="B10" t="s">
        <v>82</v>
      </c>
      <c r="C10" t="s">
        <v>44</v>
      </c>
      <c r="D10" t="s">
        <v>83</v>
      </c>
    </row>
    <row r="11" spans="1:4" x14ac:dyDescent="0.35">
      <c r="A11" t="s">
        <v>42</v>
      </c>
      <c r="B11" t="s">
        <v>43</v>
      </c>
      <c r="C11" t="s">
        <v>44</v>
      </c>
      <c r="D11" t="s">
        <v>28</v>
      </c>
    </row>
    <row r="12" spans="1:4" x14ac:dyDescent="0.35">
      <c r="A12" t="s">
        <v>57</v>
      </c>
      <c r="B12" t="s">
        <v>58</v>
      </c>
      <c r="C12" t="s">
        <v>49</v>
      </c>
      <c r="D12" t="s">
        <v>59</v>
      </c>
    </row>
    <row r="13" spans="1:4" x14ac:dyDescent="0.35">
      <c r="A13" t="s">
        <v>47</v>
      </c>
      <c r="B13" t="s">
        <v>48</v>
      </c>
      <c r="C13" t="s">
        <v>49</v>
      </c>
      <c r="D13" t="s">
        <v>20</v>
      </c>
    </row>
    <row r="14" spans="1:4" x14ac:dyDescent="0.35">
      <c r="A14" t="s">
        <v>52</v>
      </c>
      <c r="B14" t="s">
        <v>53</v>
      </c>
      <c r="C14" t="s">
        <v>54</v>
      </c>
      <c r="D14" t="s">
        <v>55</v>
      </c>
    </row>
    <row r="15" spans="1:4" x14ac:dyDescent="0.35">
      <c r="A15" t="s">
        <v>119</v>
      </c>
      <c r="B15" t="s">
        <v>120</v>
      </c>
      <c r="C15" t="s">
        <v>54</v>
      </c>
      <c r="D15" t="s">
        <v>83</v>
      </c>
    </row>
    <row r="16" spans="1:4" x14ac:dyDescent="0.35">
      <c r="A16" t="s">
        <v>62</v>
      </c>
      <c r="B16" t="s">
        <v>63</v>
      </c>
      <c r="C16" t="s">
        <v>54</v>
      </c>
      <c r="D16" t="s">
        <v>64</v>
      </c>
    </row>
    <row r="17" spans="1:4" x14ac:dyDescent="0.35">
      <c r="A17" t="s">
        <v>87</v>
      </c>
      <c r="B17" t="s">
        <v>88</v>
      </c>
      <c r="C17" t="s">
        <v>75</v>
      </c>
      <c r="D17" t="s">
        <v>76</v>
      </c>
    </row>
    <row r="18" spans="1:4" x14ac:dyDescent="0.35">
      <c r="A18" t="s">
        <v>73</v>
      </c>
      <c r="B18" t="s">
        <v>74</v>
      </c>
      <c r="C18" t="s">
        <v>75</v>
      </c>
      <c r="D18" t="s">
        <v>76</v>
      </c>
    </row>
    <row r="19" spans="1:4" x14ac:dyDescent="0.35">
      <c r="A19" t="s">
        <v>134</v>
      </c>
      <c r="B19" t="s">
        <v>135</v>
      </c>
      <c r="C19" t="s">
        <v>106</v>
      </c>
      <c r="D19" t="s">
        <v>76</v>
      </c>
    </row>
    <row r="20" spans="1:4" x14ac:dyDescent="0.35">
      <c r="A20" t="s">
        <v>104</v>
      </c>
      <c r="B20" t="s">
        <v>105</v>
      </c>
      <c r="C20" t="s">
        <v>106</v>
      </c>
      <c r="D20" t="s">
        <v>76</v>
      </c>
    </row>
    <row r="21" spans="1:4" x14ac:dyDescent="0.35">
      <c r="A21" t="s">
        <v>69</v>
      </c>
      <c r="B21" t="s">
        <v>70</v>
      </c>
      <c r="C21" t="s">
        <v>54</v>
      </c>
      <c r="D21" t="s">
        <v>64</v>
      </c>
    </row>
  </sheetData>
  <autoFilter ref="A1:D2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 Data</vt:lpstr>
      <vt:lpstr>Payment method</vt:lpstr>
      <vt:lpstr>Sales Data (2)</vt:lpstr>
      <vt:lpstr>Fault Transactions</vt:lpstr>
      <vt:lpstr>customer types</vt:lpstr>
      <vt:lpstr>Solution</vt:lpstr>
      <vt:lpstr>Sales Status</vt:lpstr>
      <vt:lpstr>Branch</vt:lpstr>
      <vt:lpstr>Dashboard</vt:lpstr>
      <vt:lpstr>Summary</vt:lpstr>
      <vt:lpstr>Product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iyanuoluwa Marcus</cp:lastModifiedBy>
  <dcterms:created xsi:type="dcterms:W3CDTF">2026-10-02T12:31:53Z</dcterms:created>
  <dcterms:modified xsi:type="dcterms:W3CDTF">2026-10-03T15:42:32Z</dcterms:modified>
</cp:coreProperties>
</file>